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Crudos" sheetId="1" state="visible" r:id="rId3"/>
    <sheet name="Frecuencias y Estadísticas" sheetId="2" state="visible" r:id="rId4"/>
    <sheet name="Gráficas" sheetId="3" state="visible" r:id="rId5"/>
    <sheet name="Matriz de Prioriza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<sst xmlns="http://schemas.openxmlformats.org/spreadsheetml/2006/main" count="168" uniqueCount="105">
  <si>
    <t xml:space="preserve">SENA — Análisis y Desarrollo de Software | Supermercado La Esquina</t>
  </si>
  <si>
    <t xml:space="preserve">HOJA 1: Datos Crudos — Dataset de Participantes</t>
  </si>
  <si>
    <t xml:space="preserve">ID</t>
  </si>
  <si>
    <t xml:space="preserve">Participante</t>
  </si>
  <si>
    <t xml:space="preserve">Rol</t>
  </si>
  <si>
    <t xml:space="preserve">Funcionalidad Prioritaria</t>
  </si>
  <si>
    <t xml:space="preserve">Ventas/Día</t>
  </si>
  <si>
    <t xml:space="preserve">¿Facturación Electrónica?</t>
  </si>
  <si>
    <t xml:space="preserve">Tiempo Atención (min)</t>
  </si>
  <si>
    <t xml:space="preserve">Usa Tecnología</t>
  </si>
  <si>
    <t xml:space="preserve">Carlos R.</t>
  </si>
  <si>
    <t xml:space="preserve">Dueño</t>
  </si>
  <si>
    <t xml:space="preserve">Control de inventario</t>
  </si>
  <si>
    <t xml:space="preserve">Sí</t>
  </si>
  <si>
    <t xml:space="preserve">Poco cómodo</t>
  </si>
  <si>
    <t xml:space="preserve">Martha R.</t>
  </si>
  <si>
    <t xml:space="preserve">Cajera</t>
  </si>
  <si>
    <t xml:space="preserve">Registro de ventas</t>
  </si>
  <si>
    <t xml:space="preserve">No sé</t>
  </si>
  <si>
    <t xml:space="preserve">Cómodo</t>
  </si>
  <si>
    <t xml:space="preserve">Julián P.</t>
  </si>
  <si>
    <t xml:space="preserve">Empleado</t>
  </si>
  <si>
    <t xml:space="preserve">No me importa</t>
  </si>
  <si>
    <t xml:space="preserve">Cliente 1</t>
  </si>
  <si>
    <t xml:space="preserve">Cliente</t>
  </si>
  <si>
    <t xml:space="preserve">Ver precios en pantalla</t>
  </si>
  <si>
    <t xml:space="preserve">-</t>
  </si>
  <si>
    <t xml:space="preserve">Muy cómodo</t>
  </si>
  <si>
    <t xml:space="preserve">Cliente 2</t>
  </si>
  <si>
    <t xml:space="preserve">Pago con tarjeta</t>
  </si>
  <si>
    <t xml:space="preserve">Ana G.</t>
  </si>
  <si>
    <t xml:space="preserve">No</t>
  </si>
  <si>
    <t xml:space="preserve">Pedro M.</t>
  </si>
  <si>
    <t xml:space="preserve">Cliente 3</t>
  </si>
  <si>
    <t xml:space="preserve">HOJA 2: Tablas de Frecuencias y Estadísticas</t>
  </si>
  <si>
    <t xml:space="preserve">TABLA 1 — Frecuencia de Funcionalidades Prioritarias</t>
  </si>
  <si>
    <t xml:space="preserve">Funcionalidad</t>
  </si>
  <si>
    <t xml:space="preserve">Frecuencia Absoluta</t>
  </si>
  <si>
    <t xml:space="preserve">Frecuencia Relativa (%)</t>
  </si>
  <si>
    <t xml:space="preserve">Prioridad</t>
  </si>
  <si>
    <t xml:space="preserve">Alta</t>
  </si>
  <si>
    <t xml:space="preserve">Media</t>
  </si>
  <si>
    <t xml:space="preserve">Baja</t>
  </si>
  <si>
    <t xml:space="preserve">TOTAL</t>
  </si>
  <si>
    <t xml:space="preserve">TABLA 2 — Opinión sobre Facturación Electrónica</t>
  </si>
  <si>
    <t xml:space="preserve">Respuesta</t>
  </si>
  <si>
    <t xml:space="preserve">Frecuencia</t>
  </si>
  <si>
    <t xml:space="preserve">Porcentaje (%)</t>
  </si>
  <si>
    <t xml:space="preserve">No sé / No importa</t>
  </si>
  <si>
    <t xml:space="preserve">TABLA 3 — Estadísticas de Ventas Diarias (participantes con dato numérico)</t>
  </si>
  <si>
    <t xml:space="preserve">Estadístico</t>
  </si>
  <si>
    <t xml:space="preserve">Valor</t>
  </si>
  <si>
    <t xml:space="preserve">Interpretación para el sistema</t>
  </si>
  <si>
    <t xml:space="preserve">Promedio de ventas/día</t>
  </si>
  <si>
    <t xml:space="preserve">El sistema debe soportar mínimo 50 transacciones diarias sin degradarse</t>
  </si>
  <si>
    <t xml:space="preserve">Máximo de ventas/día</t>
  </si>
  <si>
    <t xml:space="preserve">Pico de carga: diseñar para al menos este volumen</t>
  </si>
  <si>
    <t xml:space="preserve">Mínimo de ventas/día</t>
  </si>
  <si>
    <t xml:space="preserve">Incluso en día lento, el sistema debe estar disponible</t>
  </si>
  <si>
    <t xml:space="preserve">Total estimado mensual</t>
  </si>
  <si>
    <t xml:space="preserve">Base para planear capacidad de almacenamiento</t>
  </si>
  <si>
    <t xml:space="preserve">Tiempo promedio atención</t>
  </si>
  <si>
    <t xml:space="preserve">El sistema debe reducir este tiempo en al menos un 50%</t>
  </si>
  <si>
    <t xml:space="preserve">HOJA 3: Gráficas de Análisis — Supermercado La Esquina</t>
  </si>
  <si>
    <t xml:space="preserve">Comodidad con tecnología</t>
  </si>
  <si>
    <t xml:space="preserve">Opinión Facturación</t>
  </si>
  <si>
    <t xml:space="preserve">HOJA 4: Matriz de Priorización de Requisitos — Supermercado La Esquina</t>
  </si>
  <si>
    <t xml:space="preserve">Escala de valoración: 1 = Bajo   |   2 = Medio   |   3 = Alto   |   Puntaje Total = Importancia × Urgencia × Viabilidad</t>
  </si>
  <si>
    <t xml:space="preserve">Requisito / Funcionalidad</t>
  </si>
  <si>
    <t xml:space="preserve">Importancia
(1-3)</t>
  </si>
  <si>
    <t xml:space="preserve">Urgencia
(1-3)</t>
  </si>
  <si>
    <t xml:space="preserve">Viabilidad
(1-3)</t>
  </si>
  <si>
    <t xml:space="preserve">Puntaje
Total</t>
  </si>
  <si>
    <t xml:space="preserve">Módulo</t>
  </si>
  <si>
    <t xml:space="preserve">RF-01</t>
  </si>
  <si>
    <t xml:space="preserve">Registrar ventas con productos, cantidad y precio</t>
  </si>
  <si>
    <t xml:space="preserve">Crítica</t>
  </si>
  <si>
    <t xml:space="preserve">Ventas</t>
  </si>
  <si>
    <t xml:space="preserve">RF-02</t>
  </si>
  <si>
    <t xml:space="preserve">Calcular total y cambio automáticamente</t>
  </si>
  <si>
    <t xml:space="preserve">RF-03</t>
  </si>
  <si>
    <t xml:space="preserve">Búsqueda rápida de productos por nombre/código</t>
  </si>
  <si>
    <t xml:space="preserve">RF-04</t>
  </si>
  <si>
    <t xml:space="preserve">Control de inventario con stock actualizado</t>
  </si>
  <si>
    <t xml:space="preserve">Inventario</t>
  </si>
  <si>
    <t xml:space="preserve">RF-05</t>
  </si>
  <si>
    <t xml:space="preserve">Alertas de stock mínimo (producto por agotarse)</t>
  </si>
  <si>
    <t xml:space="preserve">RF-06</t>
  </si>
  <si>
    <t xml:space="preserve">Registrar entradas de mercancía (compras)</t>
  </si>
  <si>
    <t xml:space="preserve">RF-07</t>
  </si>
  <si>
    <t xml:space="preserve">Gestión de proveedores con datos de contacto</t>
  </si>
  <si>
    <t xml:space="preserve">Proveedores</t>
  </si>
  <si>
    <t xml:space="preserve">RF-08</t>
  </si>
  <si>
    <t xml:space="preserve">Historial de pedidos a proveedores</t>
  </si>
  <si>
    <t xml:space="preserve">RF-09</t>
  </si>
  <si>
    <t xml:space="preserve">Reporte de ventas diarias / mensuales</t>
  </si>
  <si>
    <t xml:space="preserve">Reportes</t>
  </si>
  <si>
    <t xml:space="preserve">RF-10</t>
  </si>
  <si>
    <t xml:space="preserve">Identificar los productos más vendidos</t>
  </si>
  <si>
    <t xml:space="preserve">RNF-01</t>
  </si>
  <si>
    <t xml:space="preserve">Interfaz sencilla (usuarios con baja experiencia digital)</t>
  </si>
  <si>
    <t xml:space="preserve">Usabilidad</t>
  </si>
  <si>
    <t xml:space="preserve">RNF-02</t>
  </si>
  <si>
    <t xml:space="preserve">Funcionar sin internet (modo offline)</t>
  </si>
  <si>
    <t xml:space="preserve">Infraestructura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</si>
</sst>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6E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444444"/>
      <name val="Arial"/>
      <family val="0"/>
      <charset val="1"/>
    </font>
    <font>
      <b val="true"/>
      <sz val="10"/>
      <color rgb="FF2D2D2D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1565C0"/>
        <bgColor rgb="FF3366FF"/>
      </patternFill>
    </fill>
    <fill>
      <patternFill patternType="solid">
        <fgColor rgb="FFEEF4FF"/>
        <bgColor rgb="FFE8F5FF"/>
      </patternFill>
    </fill>
    <fill>
      <patternFill patternType="solid">
        <fgColor rgb="FFFFFFFF"/>
        <bgColor rgb="FFF9F9F9"/>
      </patternFill>
    </fill>
    <fill>
      <patternFill patternType="solid">
        <fgColor rgb="FFEAF5E0"/>
        <bgColor rgb="FFE8F5FF"/>
      </patternFill>
    </fill>
    <fill>
      <patternFill patternType="solid">
        <fgColor rgb="FFDDEEFF"/>
        <bgColor rgb="FFE8F5FF"/>
      </patternFill>
    </fill>
    <fill>
      <patternFill patternType="solid">
        <fgColor rgb="FFE74C3C"/>
        <bgColor rgb="FFFF6B00"/>
      </patternFill>
    </fill>
    <fill>
      <patternFill patternType="solid">
        <fgColor rgb="FFFF6B00"/>
        <bgColor rgb="FFE74C3C"/>
      </patternFill>
    </fill>
    <fill>
      <patternFill patternType="solid">
        <fgColor rgb="FFFFF8E1"/>
        <bgColor rgb="FFF9F9F9"/>
      </patternFill>
    </fill>
    <fill>
      <patternFill patternType="solid">
        <fgColor rgb="FFF1C40F"/>
        <bgColor rgb="FFFF9900"/>
      </patternFill>
    </fill>
    <fill>
      <patternFill patternType="solid">
        <fgColor rgb="FF95A5A6"/>
        <bgColor rgb="FFAAAAAA"/>
      </patternFill>
    </fill>
    <fill>
      <patternFill patternType="solid">
        <fgColor rgb="FFFDE8FF"/>
        <bgColor rgb="FFFFE8E8"/>
      </patternFill>
    </fill>
    <fill>
      <patternFill patternType="solid">
        <fgColor rgb="FFFFE8E8"/>
        <bgColor rgb="FFFDE8FF"/>
      </patternFill>
    </fill>
    <fill>
      <patternFill patternType="solid">
        <fgColor rgb="FFE8F5FF"/>
        <bgColor rgb="FFEE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E00"/>
      <rgbColor rgb="FF000080"/>
      <rgbColor rgb="FF808000"/>
      <rgbColor rgb="FF800080"/>
      <rgbColor rgb="FF008080"/>
      <rgbColor rgb="FFAAAAAA"/>
      <rgbColor rgb="FF878787"/>
      <rgbColor rgb="FF9999FF"/>
      <rgbColor rgb="FF993366"/>
      <rgbColor rgb="FFFFF8E1"/>
      <rgbColor rgb="FFDDEEFF"/>
      <rgbColor rgb="FF660066"/>
      <rgbColor rgb="FFE74C3C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FF"/>
      <rgbColor rgb="FFEAF5E0"/>
      <rgbColor rgb="FFFFE8E8"/>
      <rgbColor rgb="FFEEF4FF"/>
      <rgbColor rgb="FFF9F9F9"/>
      <rgbColor rgb="FFCC99FF"/>
      <rgbColor rgb="FFFDE8FF"/>
      <rgbColor rgb="FF3366FF"/>
      <rgbColor rgb="FF33CCCC"/>
      <rgbColor rgb="FF99CC00"/>
      <rgbColor rgb="FFF1C40F"/>
      <rgbColor rgb="FFFF9900"/>
      <rgbColor rgb="FFFF6B00"/>
      <rgbColor rgb="FF4F81BD"/>
      <rgbColor rgb="FF95A5A6"/>
      <rgbColor rgb="FF003DA5"/>
      <rgbColor rgb="FF39A900"/>
      <rgbColor rgb="FF003300"/>
      <rgbColor rgb="FF444444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Gráfica 1: Funcionalidades Prioritarias de los Usuarios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Gráficas!B3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3d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Gráficas!$A$4:$A$7</c:f>
              <c:strCache>
                <c:ptCount val="4"/>
                <c:pt idx="0">
                  <c:v>Registro de ventas</c:v>
                </c:pt>
                <c:pt idx="1">
                  <c:v>Control de inventario</c:v>
                </c:pt>
                <c:pt idx="2">
                  <c:v>Ver precios en pantalla</c:v>
                </c:pt>
                <c:pt idx="3">
                  <c:v>Pago con tarjeta</c:v>
                </c:pt>
              </c:strCache>
            </c:strRef>
          </c:cat>
          <c:val>
            <c:numRef>
              <c:f>Gráficas!$B$4:$B$7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519673"/>
        <c:axId val="64481977"/>
      </c:barChart>
      <c:catAx>
        <c:axId val="4519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Funcionalidad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81977"/>
        <c:crosses val="autoZero"/>
        <c:auto val="1"/>
        <c:lblAlgn val="ctr"/>
        <c:lblOffset val="100"/>
        <c:noMultiLvlLbl val="0"/>
      </c:catAx>
      <c:valAx>
        <c:axId val="64481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(menciones)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9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Gráfica 2: Opinión sobre Facturación Electrónica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Gráficas!B9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9a9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f6b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Gráficas!$A$10:$A$12</c:f>
              <c:strCache>
                <c:ptCount val="3"/>
                <c:pt idx="0">
                  <c:v>Sí</c:v>
                </c:pt>
                <c:pt idx="1">
                  <c:v>No</c:v>
                </c:pt>
                <c:pt idx="2">
                  <c:v>No sé / No importa</c:v>
                </c:pt>
              </c:strCache>
            </c:strRef>
          </c:cat>
          <c:val>
            <c:numRef>
              <c:f>Gráficas!$B$10:$B$12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228960</xdr:colOff>
      <xdr:row>36</xdr:row>
      <xdr:rowOff>128160</xdr:rowOff>
    </xdr:to>
    <xdr:graphicFrame>
      <xdr:nvGraphicFramePr>
        <xdr:cNvPr id="0" name="Chart 1"/>
        <xdr:cNvGraphicFramePr/>
      </xdr:nvGraphicFramePr>
      <xdr:xfrm>
        <a:off x="0" y="266688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16</xdr:col>
      <xdr:colOff>255960</xdr:colOff>
      <xdr:row>36</xdr:row>
      <xdr:rowOff>128160</xdr:rowOff>
    </xdr:to>
    <xdr:graphicFrame>
      <xdr:nvGraphicFramePr>
        <xdr:cNvPr id="1" name="Chart 2"/>
        <xdr:cNvGraphicFramePr/>
      </xdr:nvGraphicFramePr>
      <xdr:xfrm>
        <a:off x="6861960" y="266688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6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" hidden="false" customHeight="true" outlineLevel="0" collapsed="false">
      <c r="A4" s="5" t="n">
        <v>1</v>
      </c>
      <c r="B4" s="5" t="s">
        <v>10</v>
      </c>
      <c r="C4" s="5" t="s">
        <v>11</v>
      </c>
      <c r="D4" s="5" t="s">
        <v>12</v>
      </c>
      <c r="E4" s="5" t="n">
        <v>50</v>
      </c>
      <c r="F4" s="5" t="s">
        <v>13</v>
      </c>
      <c r="G4" s="5" t="n">
        <v>4.5</v>
      </c>
      <c r="H4" s="5" t="s">
        <v>14</v>
      </c>
    </row>
    <row r="5" customFormat="false" ht="15" hidden="false" customHeight="true" outlineLevel="0" collapsed="false">
      <c r="A5" s="6" t="n">
        <v>2</v>
      </c>
      <c r="B5" s="6" t="s">
        <v>15</v>
      </c>
      <c r="C5" s="6" t="s">
        <v>16</v>
      </c>
      <c r="D5" s="6" t="s">
        <v>17</v>
      </c>
      <c r="E5" s="6" t="n">
        <v>50</v>
      </c>
      <c r="F5" s="6" t="s">
        <v>18</v>
      </c>
      <c r="G5" s="6" t="n">
        <v>3</v>
      </c>
      <c r="H5" s="6" t="s">
        <v>19</v>
      </c>
    </row>
    <row r="6" customFormat="false" ht="15" hidden="false" customHeight="true" outlineLevel="0" collapsed="false">
      <c r="A6" s="5" t="n">
        <v>3</v>
      </c>
      <c r="B6" s="5" t="s">
        <v>20</v>
      </c>
      <c r="C6" s="5" t="s">
        <v>21</v>
      </c>
      <c r="D6" s="5" t="s">
        <v>17</v>
      </c>
      <c r="E6" s="5" t="n">
        <v>50</v>
      </c>
      <c r="F6" s="5" t="s">
        <v>22</v>
      </c>
      <c r="G6" s="5" t="n">
        <v>3.5</v>
      </c>
      <c r="H6" s="5" t="s">
        <v>19</v>
      </c>
    </row>
    <row r="7" customFormat="false" ht="15" hidden="false" customHeight="true" outlineLevel="0" collapsed="false">
      <c r="A7" s="6" t="n">
        <v>4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13</v>
      </c>
      <c r="G7" s="6" t="s">
        <v>26</v>
      </c>
      <c r="H7" s="6" t="s">
        <v>27</v>
      </c>
    </row>
    <row r="8" customFormat="false" ht="15" hidden="false" customHeight="true" outlineLevel="0" collapsed="false">
      <c r="A8" s="5" t="n">
        <v>5</v>
      </c>
      <c r="B8" s="5" t="s">
        <v>28</v>
      </c>
      <c r="C8" s="5" t="s">
        <v>24</v>
      </c>
      <c r="D8" s="5" t="s">
        <v>29</v>
      </c>
      <c r="E8" s="5" t="s">
        <v>26</v>
      </c>
      <c r="F8" s="5" t="s">
        <v>13</v>
      </c>
      <c r="G8" s="5" t="s">
        <v>26</v>
      </c>
      <c r="H8" s="5" t="s">
        <v>27</v>
      </c>
    </row>
    <row r="9" customFormat="false" ht="15" hidden="false" customHeight="true" outlineLevel="0" collapsed="false">
      <c r="A9" s="6" t="n">
        <v>6</v>
      </c>
      <c r="B9" s="6" t="s">
        <v>30</v>
      </c>
      <c r="C9" s="6" t="s">
        <v>16</v>
      </c>
      <c r="D9" s="6" t="s">
        <v>17</v>
      </c>
      <c r="E9" s="6" t="n">
        <v>50</v>
      </c>
      <c r="F9" s="6" t="s">
        <v>31</v>
      </c>
      <c r="G9" s="6" t="n">
        <v>3.8</v>
      </c>
      <c r="H9" s="6" t="s">
        <v>19</v>
      </c>
    </row>
    <row r="10" customFormat="false" ht="15" hidden="false" customHeight="true" outlineLevel="0" collapsed="false">
      <c r="A10" s="5" t="n">
        <v>7</v>
      </c>
      <c r="B10" s="5" t="s">
        <v>32</v>
      </c>
      <c r="C10" s="5" t="s">
        <v>21</v>
      </c>
      <c r="D10" s="5" t="s">
        <v>12</v>
      </c>
      <c r="E10" s="5" t="n">
        <v>50</v>
      </c>
      <c r="F10" s="5" t="s">
        <v>18</v>
      </c>
      <c r="G10" s="5" t="n">
        <v>4</v>
      </c>
      <c r="H10" s="5" t="s">
        <v>14</v>
      </c>
    </row>
    <row r="11" customFormat="false" ht="15" hidden="false" customHeight="true" outlineLevel="0" collapsed="false">
      <c r="A11" s="6" t="n">
        <v>8</v>
      </c>
      <c r="B11" s="6" t="s">
        <v>33</v>
      </c>
      <c r="C11" s="6" t="s">
        <v>24</v>
      </c>
      <c r="D11" s="6" t="s">
        <v>25</v>
      </c>
      <c r="E11" s="6" t="s">
        <v>26</v>
      </c>
      <c r="F11" s="6" t="s">
        <v>13</v>
      </c>
      <c r="G11" s="6" t="s">
        <v>26</v>
      </c>
      <c r="H11" s="6" t="s">
        <v>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50"/>
  </cols>
  <sheetData>
    <row r="1" customFormat="false" ht="15" hidden="false" customHeight="true" outlineLevel="0" collapsed="false">
      <c r="A1" s="2" t="s">
        <v>34</v>
      </c>
      <c r="B1" s="2"/>
      <c r="C1" s="2"/>
      <c r="D1" s="2"/>
      <c r="E1" s="2"/>
      <c r="F1" s="2"/>
    </row>
    <row r="3" customFormat="false" ht="15.75" hidden="false" customHeight="true" outlineLevel="0" collapsed="false">
      <c r="A3" s="7" t="s">
        <v>35</v>
      </c>
      <c r="B3" s="7"/>
      <c r="C3" s="7"/>
      <c r="D3" s="7"/>
      <c r="E3" s="7"/>
      <c r="F3" s="7"/>
      <c r="G3" s="7"/>
      <c r="H3" s="7"/>
    </row>
    <row r="4" customFormat="false" ht="23.2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</row>
    <row r="5" customFormat="false" ht="15" hidden="false" customHeight="true" outlineLevel="0" collapsed="false">
      <c r="A5" s="6" t="s">
        <v>17</v>
      </c>
      <c r="B5" s="8" t="n">
        <v>3</v>
      </c>
      <c r="C5" s="8" t="n">
        <f aca="false">B5/SUM($B$5:$B$8)*100</f>
        <v>37.5</v>
      </c>
      <c r="D5" s="8" t="s">
        <v>40</v>
      </c>
    </row>
    <row r="6" customFormat="false" ht="15" hidden="false" customHeight="true" outlineLevel="0" collapsed="false">
      <c r="A6" s="5" t="s">
        <v>12</v>
      </c>
      <c r="B6" s="9" t="n">
        <v>2</v>
      </c>
      <c r="C6" s="9" t="n">
        <f aca="false">B6/SUM($B$5:$B$8)*100</f>
        <v>25</v>
      </c>
      <c r="D6" s="9" t="s">
        <v>40</v>
      </c>
    </row>
    <row r="7" customFormat="false" ht="15" hidden="false" customHeight="true" outlineLevel="0" collapsed="false">
      <c r="A7" s="6" t="s">
        <v>25</v>
      </c>
      <c r="B7" s="8" t="n">
        <v>2</v>
      </c>
      <c r="C7" s="8" t="n">
        <f aca="false">B7/SUM($B$5:$B$8)*100</f>
        <v>25</v>
      </c>
      <c r="D7" s="8" t="s">
        <v>41</v>
      </c>
    </row>
    <row r="8" customFormat="false" ht="15" hidden="false" customHeight="true" outlineLevel="0" collapsed="false">
      <c r="A8" s="5" t="s">
        <v>29</v>
      </c>
      <c r="B8" s="9" t="n">
        <v>1</v>
      </c>
      <c r="C8" s="9" t="n">
        <f aca="false">B8/SUM($B$5:$B$8)*100</f>
        <v>12.5</v>
      </c>
      <c r="D8" s="9" t="s">
        <v>42</v>
      </c>
    </row>
    <row r="9" customFormat="false" ht="15" hidden="false" customHeight="true" outlineLevel="0" collapsed="false">
      <c r="A9" s="10" t="s">
        <v>43</v>
      </c>
      <c r="B9" s="11" t="n">
        <f aca="false">SUM(B5:B8)</f>
        <v>8</v>
      </c>
      <c r="C9" s="11" t="n">
        <f aca="false">SUM(C5:C8)</f>
        <v>100</v>
      </c>
      <c r="D9" s="12"/>
    </row>
    <row r="11" customFormat="false" ht="15.75" hidden="false" customHeight="true" outlineLevel="0" collapsed="false">
      <c r="A11" s="7" t="s">
        <v>44</v>
      </c>
      <c r="B11" s="7"/>
      <c r="C11" s="7"/>
      <c r="D11" s="7"/>
      <c r="E11" s="7"/>
      <c r="F11" s="7"/>
      <c r="G11" s="7"/>
      <c r="H11" s="7"/>
    </row>
    <row r="12" customFormat="false" ht="15" hidden="false" customHeight="true" outlineLevel="0" collapsed="false">
      <c r="A12" s="4" t="s">
        <v>45</v>
      </c>
      <c r="B12" s="4" t="s">
        <v>46</v>
      </c>
      <c r="C12" s="4" t="s">
        <v>47</v>
      </c>
    </row>
    <row r="13" customFormat="false" ht="15" hidden="false" customHeight="true" outlineLevel="0" collapsed="false">
      <c r="A13" s="6" t="s">
        <v>13</v>
      </c>
      <c r="B13" s="8" t="n">
        <v>4</v>
      </c>
      <c r="C13" s="8" t="n">
        <f aca="false">B13/SUM($B$13:$B$15)*100</f>
        <v>57.1428571428571</v>
      </c>
    </row>
    <row r="14" customFormat="false" ht="15" hidden="false" customHeight="true" outlineLevel="0" collapsed="false">
      <c r="A14" s="5" t="s">
        <v>31</v>
      </c>
      <c r="B14" s="9" t="n">
        <v>1</v>
      </c>
      <c r="C14" s="9" t="n">
        <f aca="false">B14/SUM($B$13:$B$15)*100</f>
        <v>14.2857142857143</v>
      </c>
    </row>
    <row r="15" customFormat="false" ht="15" hidden="false" customHeight="true" outlineLevel="0" collapsed="false">
      <c r="A15" s="6" t="s">
        <v>48</v>
      </c>
      <c r="B15" s="8" t="n">
        <v>2</v>
      </c>
      <c r="C15" s="8" t="n">
        <f aca="false">B15/SUM($B$13:$B$15)*100</f>
        <v>28.5714285714286</v>
      </c>
    </row>
    <row r="16" customFormat="false" ht="15" hidden="false" customHeight="true" outlineLevel="0" collapsed="false">
      <c r="A16" s="10" t="s">
        <v>43</v>
      </c>
      <c r="B16" s="11" t="n">
        <f aca="false">SUM(B13:B15)</f>
        <v>7</v>
      </c>
      <c r="C16" s="11" t="n">
        <f aca="false">SUM(C13:C15)</f>
        <v>100</v>
      </c>
    </row>
    <row r="18" customFormat="false" ht="15.75" hidden="false" customHeight="true" outlineLevel="0" collapsed="false">
      <c r="A18" s="7" t="s">
        <v>49</v>
      </c>
      <c r="B18" s="7"/>
      <c r="C18" s="7"/>
      <c r="D18" s="7"/>
      <c r="E18" s="7"/>
      <c r="F18" s="7"/>
      <c r="G18" s="7"/>
      <c r="H18" s="7"/>
    </row>
    <row r="19" customFormat="false" ht="23.25" hidden="false" customHeight="true" outlineLevel="0" collapsed="false">
      <c r="A19" s="4" t="s">
        <v>50</v>
      </c>
      <c r="B19" s="4" t="s">
        <v>51</v>
      </c>
      <c r="C19" s="4" t="s">
        <v>52</v>
      </c>
    </row>
    <row r="20" customFormat="false" ht="68.25" hidden="false" customHeight="true" outlineLevel="0" collapsed="false">
      <c r="A20" s="6" t="s">
        <v>53</v>
      </c>
      <c r="B20" s="8" t="n">
        <f aca="false">AVERAGE('Datos Crudos'!E4:E6)</f>
        <v>50</v>
      </c>
      <c r="C20" s="6" t="s">
        <v>54</v>
      </c>
    </row>
    <row r="21" customFormat="false" ht="45.75" hidden="false" customHeight="true" outlineLevel="0" collapsed="false">
      <c r="A21" s="5" t="s">
        <v>55</v>
      </c>
      <c r="B21" s="9" t="n">
        <f aca="false">MAX('Datos Crudos'!E4:E6)</f>
        <v>50</v>
      </c>
      <c r="C21" s="5" t="s">
        <v>56</v>
      </c>
    </row>
    <row r="22" customFormat="false" ht="45.75" hidden="false" customHeight="true" outlineLevel="0" collapsed="false">
      <c r="A22" s="6" t="s">
        <v>57</v>
      </c>
      <c r="B22" s="8" t="n">
        <f aca="false">MIN('Datos Crudos'!E4:E6)</f>
        <v>50</v>
      </c>
      <c r="C22" s="6" t="s">
        <v>58</v>
      </c>
    </row>
    <row r="23" customFormat="false" ht="45.75" hidden="false" customHeight="true" outlineLevel="0" collapsed="false">
      <c r="A23" s="5" t="s">
        <v>59</v>
      </c>
      <c r="B23" s="9" t="n">
        <f aca="false">AVERAGE('Datos Crudos'!E4:E6)*30</f>
        <v>1500</v>
      </c>
      <c r="C23" s="5" t="s">
        <v>60</v>
      </c>
    </row>
    <row r="24" customFormat="false" ht="45.75" hidden="false" customHeight="true" outlineLevel="0" collapsed="false">
      <c r="A24" s="6" t="s">
        <v>61</v>
      </c>
      <c r="B24" s="8" t="n">
        <f aca="false">AVERAGE('Datos Crudos'!G4:G6)</f>
        <v>3.66666666666667</v>
      </c>
      <c r="C24" s="6" t="s">
        <v>62</v>
      </c>
    </row>
  </sheetData>
  <mergeCells count="4">
    <mergeCell ref="A1:F1"/>
    <mergeCell ref="A3:H3"/>
    <mergeCell ref="A11:H1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13" t="s">
        <v>36</v>
      </c>
      <c r="B3" s="13" t="s">
        <v>46</v>
      </c>
      <c r="D3" s="14" t="s">
        <v>64</v>
      </c>
      <c r="E3" s="14" t="s">
        <v>46</v>
      </c>
    </row>
    <row r="4" customFormat="false" ht="15" hidden="false" customHeight="true" outlineLevel="0" collapsed="false">
      <c r="A4" s="6" t="s">
        <v>17</v>
      </c>
      <c r="B4" s="6" t="n">
        <v>3</v>
      </c>
      <c r="C4" s="6"/>
      <c r="D4" s="5" t="s">
        <v>27</v>
      </c>
      <c r="E4" s="5" t="n">
        <v>3</v>
      </c>
    </row>
    <row r="5" customFormat="false" ht="15" hidden="false" customHeight="true" outlineLevel="0" collapsed="false">
      <c r="A5" s="6" t="s">
        <v>12</v>
      </c>
      <c r="B5" s="6" t="n">
        <v>2</v>
      </c>
      <c r="C5" s="6"/>
      <c r="D5" s="6" t="s">
        <v>19</v>
      </c>
      <c r="E5" s="6" t="n">
        <v>3</v>
      </c>
    </row>
    <row r="6" customFormat="false" ht="15" hidden="false" customHeight="true" outlineLevel="0" collapsed="false">
      <c r="A6" s="6" t="s">
        <v>25</v>
      </c>
      <c r="B6" s="6" t="n">
        <v>2</v>
      </c>
      <c r="C6" s="6"/>
      <c r="D6" s="5" t="s">
        <v>14</v>
      </c>
      <c r="E6" s="5" t="n">
        <v>2</v>
      </c>
    </row>
    <row r="7" customFormat="false" ht="15" hidden="false" customHeight="true" outlineLevel="0" collapsed="false">
      <c r="A7" s="6" t="s">
        <v>29</v>
      </c>
      <c r="B7" s="6" t="n">
        <v>1</v>
      </c>
    </row>
    <row r="9" customFormat="false" ht="15" hidden="false" customHeight="true" outlineLevel="0" collapsed="false">
      <c r="A9" s="13" t="s">
        <v>65</v>
      </c>
      <c r="B9" s="13" t="s">
        <v>46</v>
      </c>
    </row>
    <row r="10" customFormat="false" ht="15" hidden="false" customHeight="true" outlineLevel="0" collapsed="false">
      <c r="A10" s="5" t="s">
        <v>13</v>
      </c>
      <c r="B10" s="5" t="n">
        <v>4</v>
      </c>
    </row>
    <row r="11" customFormat="false" ht="15" hidden="false" customHeight="true" outlineLevel="0" collapsed="false">
      <c r="A11" s="6" t="s">
        <v>31</v>
      </c>
      <c r="B11" s="6" t="n">
        <v>1</v>
      </c>
    </row>
    <row r="12" customFormat="false" ht="15" hidden="false" customHeight="true" outlineLevel="0" collapsed="false">
      <c r="A12" s="5" t="s">
        <v>48</v>
      </c>
      <c r="B12" s="5" t="n">
        <v>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8"/>
    <col collapsed="false" customWidth="true" hidden="false" outlineLevel="0" max="3" min="3" style="1" width="13"/>
    <col collapsed="false" customWidth="true" hidden="false" outlineLevel="0" max="6" min="4" style="1" width="11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5" t="s">
        <v>67</v>
      </c>
      <c r="B2" s="15"/>
      <c r="C2" s="15"/>
      <c r="D2" s="15"/>
      <c r="E2" s="15"/>
      <c r="F2" s="15"/>
      <c r="G2" s="15"/>
      <c r="H2" s="15"/>
    </row>
    <row r="3" customFormat="false" ht="36" hidden="false" customHeight="true" outlineLevel="0" collapsed="false">
      <c r="A3" s="4" t="s">
        <v>2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39</v>
      </c>
      <c r="H3" s="4" t="s">
        <v>73</v>
      </c>
    </row>
    <row r="4" customFormat="false" ht="15" hidden="false" customHeight="true" outlineLevel="0" collapsed="false">
      <c r="A4" s="16" t="s">
        <v>74</v>
      </c>
      <c r="B4" s="17" t="s">
        <v>75</v>
      </c>
      <c r="C4" s="18" t="n">
        <v>3</v>
      </c>
      <c r="D4" s="18" t="n">
        <v>3</v>
      </c>
      <c r="E4" s="18" t="n">
        <v>3</v>
      </c>
      <c r="F4" s="19" t="n">
        <f aca="false">C4*D4*E4</f>
        <v>27</v>
      </c>
      <c r="G4" s="20" t="s">
        <v>76</v>
      </c>
      <c r="H4" s="18" t="s">
        <v>77</v>
      </c>
    </row>
    <row r="5" customFormat="false" ht="15" hidden="false" customHeight="true" outlineLevel="0" collapsed="false">
      <c r="A5" s="16" t="s">
        <v>78</v>
      </c>
      <c r="B5" s="17" t="s">
        <v>79</v>
      </c>
      <c r="C5" s="18" t="n">
        <v>3</v>
      </c>
      <c r="D5" s="18" t="n">
        <v>3</v>
      </c>
      <c r="E5" s="18" t="n">
        <v>3</v>
      </c>
      <c r="F5" s="19" t="n">
        <f aca="false">C5*D5*E5</f>
        <v>27</v>
      </c>
      <c r="G5" s="20" t="s">
        <v>76</v>
      </c>
      <c r="H5" s="18" t="s">
        <v>77</v>
      </c>
    </row>
    <row r="6" customFormat="false" ht="15" hidden="false" customHeight="true" outlineLevel="0" collapsed="false">
      <c r="A6" s="16" t="s">
        <v>80</v>
      </c>
      <c r="B6" s="17" t="s">
        <v>81</v>
      </c>
      <c r="C6" s="18" t="n">
        <v>3</v>
      </c>
      <c r="D6" s="18" t="n">
        <v>3</v>
      </c>
      <c r="E6" s="18" t="n">
        <v>2</v>
      </c>
      <c r="F6" s="19" t="n">
        <f aca="false">C6*D6*E6</f>
        <v>18</v>
      </c>
      <c r="G6" s="20" t="s">
        <v>76</v>
      </c>
      <c r="H6" s="18" t="s">
        <v>77</v>
      </c>
    </row>
    <row r="7" customFormat="false" ht="15" hidden="false" customHeight="true" outlineLevel="0" collapsed="false">
      <c r="A7" s="21" t="s">
        <v>82</v>
      </c>
      <c r="B7" s="12" t="s">
        <v>83</v>
      </c>
      <c r="C7" s="22" t="n">
        <v>3</v>
      </c>
      <c r="D7" s="22" t="n">
        <v>3</v>
      </c>
      <c r="E7" s="22" t="n">
        <v>3</v>
      </c>
      <c r="F7" s="11" t="n">
        <f aca="false">C7*D7*E7</f>
        <v>27</v>
      </c>
      <c r="G7" s="20" t="s">
        <v>76</v>
      </c>
      <c r="H7" s="22" t="s">
        <v>84</v>
      </c>
    </row>
    <row r="8" customFormat="false" ht="15" hidden="false" customHeight="true" outlineLevel="0" collapsed="false">
      <c r="A8" s="21" t="s">
        <v>85</v>
      </c>
      <c r="B8" s="12" t="s">
        <v>86</v>
      </c>
      <c r="C8" s="22" t="n">
        <v>3</v>
      </c>
      <c r="D8" s="22" t="n">
        <v>2</v>
      </c>
      <c r="E8" s="22" t="n">
        <v>3</v>
      </c>
      <c r="F8" s="11" t="n">
        <f aca="false">C8*D8*E8</f>
        <v>18</v>
      </c>
      <c r="G8" s="20" t="s">
        <v>76</v>
      </c>
      <c r="H8" s="22" t="s">
        <v>84</v>
      </c>
    </row>
    <row r="9" customFormat="false" ht="15" hidden="false" customHeight="true" outlineLevel="0" collapsed="false">
      <c r="A9" s="21" t="s">
        <v>87</v>
      </c>
      <c r="B9" s="12" t="s">
        <v>88</v>
      </c>
      <c r="C9" s="22" t="n">
        <v>2</v>
      </c>
      <c r="D9" s="22" t="n">
        <v>2</v>
      </c>
      <c r="E9" s="22" t="n">
        <v>3</v>
      </c>
      <c r="F9" s="11" t="n">
        <f aca="false">C9*D9*E9</f>
        <v>12</v>
      </c>
      <c r="G9" s="23" t="s">
        <v>40</v>
      </c>
      <c r="H9" s="22" t="s">
        <v>84</v>
      </c>
    </row>
    <row r="10" customFormat="false" ht="15" hidden="false" customHeight="true" outlineLevel="0" collapsed="false">
      <c r="A10" s="24" t="s">
        <v>89</v>
      </c>
      <c r="B10" s="25" t="s">
        <v>90</v>
      </c>
      <c r="C10" s="26" t="n">
        <v>2</v>
      </c>
      <c r="D10" s="26" t="n">
        <v>2</v>
      </c>
      <c r="E10" s="26" t="n">
        <v>2</v>
      </c>
      <c r="F10" s="27" t="n">
        <f aca="false">C10*D10*E10</f>
        <v>8</v>
      </c>
      <c r="G10" s="28" t="s">
        <v>41</v>
      </c>
      <c r="H10" s="26" t="s">
        <v>91</v>
      </c>
    </row>
    <row r="11" customFormat="false" ht="15" hidden="false" customHeight="true" outlineLevel="0" collapsed="false">
      <c r="A11" s="24" t="s">
        <v>92</v>
      </c>
      <c r="B11" s="25" t="s">
        <v>93</v>
      </c>
      <c r="C11" s="26" t="n">
        <v>2</v>
      </c>
      <c r="D11" s="26" t="n">
        <v>1</v>
      </c>
      <c r="E11" s="26" t="n">
        <v>2</v>
      </c>
      <c r="F11" s="27" t="n">
        <f aca="false">C11*D11*E11</f>
        <v>4</v>
      </c>
      <c r="G11" s="29" t="s">
        <v>42</v>
      </c>
      <c r="H11" s="26" t="s">
        <v>91</v>
      </c>
    </row>
    <row r="12" customFormat="false" ht="15" hidden="false" customHeight="true" outlineLevel="0" collapsed="false">
      <c r="A12" s="30" t="s">
        <v>94</v>
      </c>
      <c r="B12" s="31" t="s">
        <v>95</v>
      </c>
      <c r="C12" s="32" t="n">
        <v>3</v>
      </c>
      <c r="D12" s="32" t="n">
        <v>2</v>
      </c>
      <c r="E12" s="32" t="n">
        <v>2</v>
      </c>
      <c r="F12" s="33" t="n">
        <f aca="false">C12*D12*E12</f>
        <v>12</v>
      </c>
      <c r="G12" s="23" t="s">
        <v>40</v>
      </c>
      <c r="H12" s="32" t="s">
        <v>96</v>
      </c>
    </row>
    <row r="13" customFormat="false" ht="15" hidden="false" customHeight="true" outlineLevel="0" collapsed="false">
      <c r="A13" s="30" t="s">
        <v>97</v>
      </c>
      <c r="B13" s="31" t="s">
        <v>98</v>
      </c>
      <c r="C13" s="32" t="n">
        <v>2</v>
      </c>
      <c r="D13" s="32" t="n">
        <v>1</v>
      </c>
      <c r="E13" s="32" t="n">
        <v>2</v>
      </c>
      <c r="F13" s="33" t="n">
        <f aca="false">C13*D13*E13</f>
        <v>4</v>
      </c>
      <c r="G13" s="29" t="s">
        <v>42</v>
      </c>
      <c r="H13" s="32" t="s">
        <v>96</v>
      </c>
    </row>
    <row r="14" customFormat="false" ht="15" hidden="false" customHeight="true" outlineLevel="0" collapsed="false">
      <c r="A14" s="34" t="s">
        <v>99</v>
      </c>
      <c r="B14" s="35" t="s">
        <v>100</v>
      </c>
      <c r="C14" s="36" t="n">
        <v>3</v>
      </c>
      <c r="D14" s="36" t="n">
        <v>3</v>
      </c>
      <c r="E14" s="36" t="n">
        <v>3</v>
      </c>
      <c r="F14" s="37" t="n">
        <f aca="false">C14*D14*E14</f>
        <v>27</v>
      </c>
      <c r="G14" s="20" t="s">
        <v>76</v>
      </c>
      <c r="H14" s="36" t="s">
        <v>101</v>
      </c>
    </row>
    <row r="15" customFormat="false" ht="15" hidden="false" customHeight="true" outlineLevel="0" collapsed="false">
      <c r="A15" s="38" t="s">
        <v>102</v>
      </c>
      <c r="B15" s="39" t="s">
        <v>103</v>
      </c>
      <c r="C15" s="40" t="n">
        <v>3</v>
      </c>
      <c r="D15" s="40" t="n">
        <v>3</v>
      </c>
      <c r="E15" s="40" t="n">
        <v>2</v>
      </c>
      <c r="F15" s="41" t="n">
        <f aca="false">C15*D15*E15</f>
        <v>18</v>
      </c>
      <c r="G15" s="20" t="s">
        <v>76</v>
      </c>
      <c r="H15" s="40" t="s">
        <v>104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2026-04-14T20:27:49Z</dcterms:created>
  <dc:creator>openpyxl</dc:creator>
  <dc:description/>
  <dc:language>en-US</dc:language>
  <cp:lastModifiedBy/>
  <dcterms:modified xsi:type="dcterms:W3CDTF">2026-04-14T20:28:44Z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