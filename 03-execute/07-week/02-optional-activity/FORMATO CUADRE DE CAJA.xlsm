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qui\OneDrive\Desktop\Cuadre de caja\"/>
    </mc:Choice>
  </mc:AlternateContent>
  <xr:revisionPtr revIDLastSave="0" documentId="13_ncr:1_{B21A5187-8661-49DE-8D53-727C9E1108EA}" xr6:coauthVersionLast="47" xr6:coauthVersionMax="47" xr10:uidLastSave="{00000000-0000-0000-0000-000000000000}"/>
  <bookViews>
    <workbookView xWindow="-108" yWindow="-108" windowWidth="23256" windowHeight="12456" xr2:uid="{8B04F833-7856-4FBE-8821-B0188D94477C}"/>
  </bookViews>
  <sheets>
    <sheet name="FORMATO_CUADRE_DE_CAJA" sheetId="1" r:id="rId1"/>
    <sheet name="BASE DE DATOS " sheetId="4" r:id="rId2"/>
    <sheet name="REGISTRO_CUADRES" sheetId="7" state="very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" l="1"/>
  <c r="C15" i="1"/>
  <c r="C14" i="1"/>
  <c r="C13" i="1"/>
  <c r="B34" i="1"/>
  <c r="C11" i="1"/>
  <c r="C7" i="1" l="1"/>
  <c r="C25" i="1" s="1"/>
</calcChain>
</file>

<file path=xl/sharedStrings.xml><?xml version="1.0" encoding="utf-8"?>
<sst xmlns="http://schemas.openxmlformats.org/spreadsheetml/2006/main" count="174" uniqueCount="101">
  <si>
    <t>CUADRE DE CAJA</t>
  </si>
  <si>
    <t>VERSIÓN: 01</t>
  </si>
  <si>
    <t>PAGINA: 1 de 1</t>
  </si>
  <si>
    <t>FECHA</t>
  </si>
  <si>
    <t>EFECTIVO ENTREGADO</t>
  </si>
  <si>
    <t>CAJA</t>
  </si>
  <si>
    <t>HORA</t>
  </si>
  <si>
    <t>SUCURSAL</t>
  </si>
  <si>
    <t>BILLETES</t>
  </si>
  <si>
    <t>CANT.</t>
  </si>
  <si>
    <t>TOTAL</t>
  </si>
  <si>
    <t>SENCILLA(+)</t>
  </si>
  <si>
    <t>DATAFONO(+)</t>
  </si>
  <si>
    <t>TOTAL CUADRE(=)</t>
  </si>
  <si>
    <t>Descargues</t>
  </si>
  <si>
    <t>OBSERVACIONES:</t>
  </si>
  <si>
    <t>ENTREGA</t>
  </si>
  <si>
    <t>REVISO</t>
  </si>
  <si>
    <t>TRASNFERENCIA(+)</t>
  </si>
  <si>
    <t>FACTURAS DE CONTINGENCIA</t>
  </si>
  <si>
    <t>VALES O FACTURAS PAGADAS(+)</t>
  </si>
  <si>
    <t>LINK DE PAGO(+)</t>
  </si>
  <si>
    <t>MERCADO PAGO(+)</t>
  </si>
  <si>
    <t>CREDITO CAJA 7 (+)</t>
  </si>
  <si>
    <t>CAJER@</t>
  </si>
  <si>
    <t>CANT DE DATAFONO</t>
  </si>
  <si>
    <t xml:space="preserve">Balanta Barona Vanessa </t>
  </si>
  <si>
    <t>Bedoya Valencia Lina Johana</t>
  </si>
  <si>
    <t>Bejarano Esguerra Luis Enrique</t>
  </si>
  <si>
    <t>Benachi Gallego Stefanie</t>
  </si>
  <si>
    <t>Carabali Prado Jose Antonio</t>
  </si>
  <si>
    <t>Herrera Cabezas Katherine</t>
  </si>
  <si>
    <t xml:space="preserve">Hinestroza Goyes Cindy Yesenia </t>
  </si>
  <si>
    <t xml:space="preserve">Jimenez Ramirez Viviana </t>
  </si>
  <si>
    <t xml:space="preserve">Julio Sanchez Raquel </t>
  </si>
  <si>
    <t>Martha nunez Yurani</t>
  </si>
  <si>
    <t xml:space="preserve">Mayor espinel Lysstte Anabel </t>
  </si>
  <si>
    <t xml:space="preserve">Monroy Aguirre Dayana </t>
  </si>
  <si>
    <t xml:space="preserve">Peña Avila Katerine </t>
  </si>
  <si>
    <t>Perdomo Lopez Carlos Francisco</t>
  </si>
  <si>
    <t>Ramirez Laiton Luz Helena</t>
  </si>
  <si>
    <t>Rojas Cardona Cristian Fernando</t>
  </si>
  <si>
    <t>Sarria Leon Lucely</t>
  </si>
  <si>
    <t xml:space="preserve">Torres conde Edwart Andres </t>
  </si>
  <si>
    <t xml:space="preserve">Valderrama Jaramillo Paula </t>
  </si>
  <si>
    <t xml:space="preserve">CODIGO </t>
  </si>
  <si>
    <t>NOMBRE</t>
  </si>
  <si>
    <t xml:space="preserve">PRINCIPAL </t>
  </si>
  <si>
    <t xml:space="preserve">JUNIN </t>
  </si>
  <si>
    <t xml:space="preserve">RAPISUR </t>
  </si>
  <si>
    <t xml:space="preserve">CAÑASGORDAS </t>
  </si>
  <si>
    <t>MALL PLAZA</t>
  </si>
  <si>
    <t xml:space="preserve">CALIMA </t>
  </si>
  <si>
    <t xml:space="preserve">CAJA </t>
  </si>
  <si>
    <t>001-01</t>
  </si>
  <si>
    <t>002-01</t>
  </si>
  <si>
    <t>001-02</t>
  </si>
  <si>
    <t>001-03</t>
  </si>
  <si>
    <t>001-04</t>
  </si>
  <si>
    <t>001-05</t>
  </si>
  <si>
    <t>001-06</t>
  </si>
  <si>
    <t>001-07</t>
  </si>
  <si>
    <t>001-08</t>
  </si>
  <si>
    <t>003-01</t>
  </si>
  <si>
    <t>003-02</t>
  </si>
  <si>
    <t>006-01</t>
  </si>
  <si>
    <t>007-01</t>
  </si>
  <si>
    <t>008-01</t>
  </si>
  <si>
    <t>009-01</t>
  </si>
  <si>
    <t>Yadira Villota</t>
  </si>
  <si>
    <t xml:space="preserve">HORA </t>
  </si>
  <si>
    <t>MAÑANA</t>
  </si>
  <si>
    <t xml:space="preserve">TARDE </t>
  </si>
  <si>
    <t>NOCHE</t>
  </si>
  <si>
    <t>ESTACION</t>
  </si>
  <si>
    <t>FECHA: 1 abril 2026</t>
  </si>
  <si>
    <t>COD: MABP-001</t>
  </si>
  <si>
    <t>BILLETES 100</t>
  </si>
  <si>
    <t>BILLETES 20</t>
  </si>
  <si>
    <t>SENCILLA</t>
  </si>
  <si>
    <t>DATAFONO</t>
  </si>
  <si>
    <t>VALES</t>
  </si>
  <si>
    <t>TRANSFERENCIA</t>
  </si>
  <si>
    <t xml:space="preserve">LINK PAGO </t>
  </si>
  <si>
    <t>MERCADO PAGO</t>
  </si>
  <si>
    <t>CREDITO C7</t>
  </si>
  <si>
    <t>BILLETES 50</t>
  </si>
  <si>
    <t>DESCARGUES</t>
  </si>
  <si>
    <t>TOTAL CUADRE</t>
  </si>
  <si>
    <t>FACT CONT</t>
  </si>
  <si>
    <t xml:space="preserve">CANT DATAFONO </t>
  </si>
  <si>
    <t xml:space="preserve">OBERVACIONES </t>
  </si>
  <si>
    <t>2:00:00 P.M.</t>
  </si>
  <si>
    <t>3:00:00 P.M</t>
  </si>
  <si>
    <t>HOLAAAAAAAAAAA</t>
  </si>
  <si>
    <t>CAJERO</t>
  </si>
  <si>
    <t>BILLETES 10</t>
  </si>
  <si>
    <t>3:23:00 P.M</t>
  </si>
  <si>
    <t>deben</t>
  </si>
  <si>
    <t>3:45:00 P.M</t>
  </si>
  <si>
    <t xml:space="preserve">revisar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</si>
</sst>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\ #,##0.00;\-&quot;$&quot;\ #,##0.00"/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_-* #,##0_-;\-* #,##0_-;_-* \-_-;_-@_-"/>
    <numFmt numFmtId="166" formatCode="&quot;$&quot;\ #,##0"/>
    <numFmt numFmtId="167" formatCode="[$-240A]h:mm:ss\ AM/PM;@"/>
    <numFmt numFmtId="168" formatCode="[$-F400]h:mm:ss\ AM/PM"/>
  </numFmts>
  <fonts count="27">
    <font>
      <sz val="11"/>
      <color rgb="FF000000"/>
      <name val="Liberation Sans"/>
    </font>
    <font>
      <sz val="12"/>
      <name val="Times New Roman"/>
      <family val="1"/>
    </font>
    <font>
      <sz val="8"/>
      <name val="Liberation Sans"/>
    </font>
    <font>
      <sz val="11"/>
      <color rgb="FF000000"/>
      <name val="Liberation Sans"/>
    </font>
    <font>
      <sz val="11"/>
      <color theme="1"/>
      <name val="Calibri"/>
      <family val="2"/>
      <scheme val="minor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u/>
      <sz val="11"/>
      <color theme="10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sz val="11"/>
      <color rgb="FF000000"/>
      <name val="Calibri"/>
      <family val="2"/>
      <charset val="1"/>
    </font>
    <font>
      <sz val="11"/>
      <color theme="1"/>
      <name val="Liberation Sans"/>
    </font>
    <font>
      <b/>
      <sz val="11"/>
      <color theme="0"/>
      <name val="Liberation Sans"/>
    </font>
    <font>
      <sz val="11"/>
      <color rgb="FF000000"/>
      <name val="Arial Narrow"/>
      <family val="2"/>
    </font>
    <font>
      <sz val="13"/>
      <color rgb="FF000000"/>
      <name val="Arial Narrow"/>
      <family val="2"/>
    </font>
    <font>
      <sz val="10"/>
      <color rgb="FF000000"/>
      <name val="Arial Narrow"/>
      <family val="2"/>
    </font>
    <font>
      <sz val="14"/>
      <color rgb="FF000000"/>
      <name val="Arial Narrow"/>
      <family val="2"/>
    </font>
    <font>
      <b/>
      <sz val="9"/>
      <color rgb="FF000000"/>
      <name val="Arial Narrow"/>
      <family val="2"/>
    </font>
    <font>
      <b/>
      <sz val="15"/>
      <color rgb="FF000000"/>
      <name val="Arial Narrow"/>
      <family val="2"/>
    </font>
    <font>
      <b/>
      <sz val="14"/>
      <color rgb="FF000000"/>
      <name val="Arial Narrow"/>
      <family val="2"/>
    </font>
  </fonts>
  <fills count="1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0">
    <xf numFmtId="0" fontId="0" fillId="0" borderId="0"/>
    <xf numFmtId="0" fontId="5" fillId="0" borderId="0" applyNumberFormat="0" applyBorder="0" applyProtection="0"/>
    <xf numFmtId="0" fontId="6" fillId="2" borderId="0" applyNumberFormat="0" applyBorder="0" applyProtection="0"/>
    <xf numFmtId="0" fontId="6" fillId="3" borderId="0" applyNumberFormat="0" applyBorder="0" applyProtection="0"/>
    <xf numFmtId="0" fontId="5" fillId="4" borderId="0" applyNumberFormat="0" applyBorder="0" applyProtection="0"/>
    <xf numFmtId="0" fontId="7" fillId="5" borderId="0" applyNumberFormat="0" applyBorder="0" applyProtection="0"/>
    <xf numFmtId="0" fontId="8" fillId="6" borderId="0" applyNumberFormat="0" applyBorder="0" applyProtection="0"/>
    <xf numFmtId="0" fontId="9" fillId="0" borderId="0" applyNumberFormat="0" applyBorder="0" applyProtection="0"/>
    <xf numFmtId="0" fontId="10" fillId="7" borderId="0" applyNumberFormat="0" applyBorder="0" applyProtection="0"/>
    <xf numFmtId="0" fontId="11" fillId="0" borderId="0" applyNumberFormat="0" applyBorder="0" applyProtection="0"/>
    <xf numFmtId="0" fontId="12" fillId="0" borderId="0" applyNumberFormat="0" applyBorder="0" applyProtection="0"/>
    <xf numFmtId="0" fontId="13" fillId="0" borderId="0" applyNumberFormat="0" applyBorder="0" applyProtection="0"/>
    <xf numFmtId="0" fontId="14" fillId="0" borderId="0" applyNumberFormat="0" applyFill="0" applyBorder="0" applyAlignment="0" applyProtection="0"/>
    <xf numFmtId="44" fontId="4" fillId="0" borderId="0" applyFont="0" applyFill="0" applyBorder="0" applyAlignment="0" applyProtection="0"/>
    <xf numFmtId="0" fontId="15" fillId="8" borderId="0" applyNumberFormat="0" applyBorder="0" applyProtection="0"/>
    <xf numFmtId="0" fontId="16" fillId="8" borderId="13" applyNumberFormat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165" fontId="17" fillId="0" borderId="0" applyBorder="0" applyProtection="0"/>
    <xf numFmtId="0" fontId="7" fillId="0" borderId="0" applyNumberFormat="0" applyBorder="0" applyProtection="0"/>
  </cellStyleXfs>
  <cellXfs count="76">
    <xf numFmtId="0" fontId="0" fillId="0" borderId="0" xfId="0"/>
    <xf numFmtId="0" fontId="0" fillId="0" borderId="0" xfId="0" applyAlignment="1">
      <alignment horizontal="center"/>
    </xf>
    <xf numFmtId="0" fontId="18" fillId="0" borderId="14" xfId="0" applyFont="1" applyBorder="1" applyAlignment="1">
      <alignment horizontal="center"/>
    </xf>
    <xf numFmtId="0" fontId="18" fillId="9" borderId="14" xfId="0" applyFont="1" applyFill="1" applyBorder="1" applyAlignment="1">
      <alignment horizontal="center"/>
    </xf>
    <xf numFmtId="0" fontId="1" fillId="0" borderId="0" xfId="18" applyNumberFormat="1" applyFont="1" applyBorder="1" applyAlignment="1">
      <alignment horizontal="center" vertical="center" wrapText="1"/>
    </xf>
    <xf numFmtId="0" fontId="1" fillId="0" borderId="0" xfId="18" applyNumberFormat="1" applyFont="1" applyBorder="1" applyAlignment="1">
      <alignment horizontal="left" vertical="center" wrapText="1"/>
    </xf>
    <xf numFmtId="49" fontId="0" fillId="0" borderId="0" xfId="0" applyNumberFormat="1" applyAlignment="1">
      <alignment horizontal="center"/>
    </xf>
    <xf numFmtId="0" fontId="1" fillId="0" borderId="0" xfId="18" applyNumberFormat="1" applyFont="1" applyBorder="1" applyAlignment="1">
      <alignment horizontal="left" vertical="center"/>
    </xf>
    <xf numFmtId="0" fontId="1" fillId="10" borderId="0" xfId="18" applyNumberFormat="1" applyFont="1" applyFill="1" applyBorder="1" applyAlignment="1">
      <alignment horizontal="left" vertical="center"/>
    </xf>
    <xf numFmtId="0" fontId="19" fillId="11" borderId="14" xfId="0" applyFont="1" applyFill="1" applyBorder="1" applyAlignment="1">
      <alignment horizontal="center"/>
    </xf>
    <xf numFmtId="0" fontId="19" fillId="11" borderId="15" xfId="0" applyFont="1" applyFill="1" applyBorder="1" applyAlignment="1">
      <alignment horizontal="center"/>
    </xf>
    <xf numFmtId="49" fontId="18" fillId="9" borderId="14" xfId="0" applyNumberFormat="1" applyFont="1" applyFill="1" applyBorder="1" applyAlignment="1">
      <alignment horizontal="center"/>
    </xf>
    <xf numFmtId="0" fontId="18" fillId="9" borderId="15" xfId="0" applyFont="1" applyFill="1" applyBorder="1" applyAlignment="1">
      <alignment horizontal="center"/>
    </xf>
    <xf numFmtId="49" fontId="18" fillId="0" borderId="14" xfId="0" applyNumberFormat="1" applyFont="1" applyBorder="1" applyAlignment="1">
      <alignment horizontal="center"/>
    </xf>
    <xf numFmtId="0" fontId="18" fillId="0" borderId="15" xfId="0" applyFont="1" applyBorder="1" applyAlignment="1">
      <alignment horizontal="center"/>
    </xf>
    <xf numFmtId="0" fontId="1" fillId="12" borderId="0" xfId="18" applyNumberFormat="1" applyFont="1" applyFill="1" applyBorder="1" applyAlignment="1">
      <alignment horizontal="left" vertical="center"/>
    </xf>
    <xf numFmtId="0" fontId="1" fillId="12" borderId="0" xfId="18" applyNumberFormat="1" applyFont="1" applyFill="1" applyBorder="1" applyAlignment="1">
      <alignment horizontal="center" vertical="center" wrapText="1"/>
    </xf>
    <xf numFmtId="0" fontId="20" fillId="0" borderId="1" xfId="0" applyFont="1" applyBorder="1" applyAlignment="1" applyProtection="1">
      <alignment horizontal="center"/>
      <protection locked="0"/>
    </xf>
    <xf numFmtId="0" fontId="20" fillId="0" borderId="0" xfId="0" applyFont="1" applyProtection="1">
      <protection locked="0"/>
    </xf>
    <xf numFmtId="0" fontId="0" fillId="0" borderId="0" xfId="0" applyProtection="1">
      <protection locked="0"/>
    </xf>
    <xf numFmtId="0" fontId="20" fillId="0" borderId="2" xfId="0" applyFont="1" applyBorder="1" applyAlignment="1" applyProtection="1">
      <alignment horizontal="center"/>
      <protection locked="0"/>
    </xf>
    <xf numFmtId="0" fontId="22" fillId="0" borderId="3" xfId="0" applyFont="1" applyBorder="1" applyProtection="1">
      <protection locked="0"/>
    </xf>
    <xf numFmtId="0" fontId="22" fillId="0" borderId="0" xfId="0" applyFont="1" applyProtection="1">
      <protection locked="0"/>
    </xf>
    <xf numFmtId="0" fontId="22" fillId="0" borderId="4" xfId="0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23" fillId="0" borderId="0" xfId="0" applyFont="1" applyAlignment="1" applyProtection="1">
      <alignment horizontal="right"/>
      <protection locked="0"/>
    </xf>
    <xf numFmtId="14" fontId="23" fillId="0" borderId="18" xfId="0" applyNumberFormat="1" applyFont="1" applyBorder="1" applyAlignment="1" applyProtection="1">
      <alignment horizontal="center"/>
      <protection locked="0"/>
    </xf>
    <xf numFmtId="0" fontId="23" fillId="0" borderId="0" xfId="0" applyFont="1" applyProtection="1">
      <protection locked="0"/>
    </xf>
    <xf numFmtId="0" fontId="14" fillId="0" borderId="0" xfId="12" applyBorder="1" applyAlignment="1" applyProtection="1">
      <alignment horizontal="right"/>
      <protection locked="0"/>
    </xf>
    <xf numFmtId="0" fontId="23" fillId="0" borderId="18" xfId="0" applyFont="1" applyBorder="1" applyAlignment="1" applyProtection="1">
      <alignment horizontal="center"/>
      <protection locked="0"/>
    </xf>
    <xf numFmtId="167" fontId="23" fillId="0" borderId="19" xfId="0" applyNumberFormat="1" applyFont="1" applyBorder="1" applyAlignment="1" applyProtection="1">
      <alignment horizontal="center"/>
      <protection locked="0"/>
    </xf>
    <xf numFmtId="0" fontId="23" fillId="0" borderId="5" xfId="0" applyFont="1" applyBorder="1" applyAlignment="1" applyProtection="1">
      <alignment horizontal="center"/>
      <protection locked="0"/>
    </xf>
    <xf numFmtId="0" fontId="23" fillId="0" borderId="6" xfId="0" applyFont="1" applyBorder="1" applyAlignment="1" applyProtection="1">
      <alignment horizontal="center"/>
      <protection locked="0"/>
    </xf>
    <xf numFmtId="0" fontId="23" fillId="0" borderId="4" xfId="0" applyFont="1" applyBorder="1" applyAlignment="1" applyProtection="1">
      <alignment horizontal="center"/>
      <protection locked="0"/>
    </xf>
    <xf numFmtId="0" fontId="23" fillId="0" borderId="0" xfId="0" applyFont="1" applyAlignment="1" applyProtection="1">
      <alignment horizontal="center"/>
      <protection locked="0"/>
    </xf>
    <xf numFmtId="164" fontId="23" fillId="0" borderId="5" xfId="13" applyNumberFormat="1" applyFont="1" applyBorder="1" applyProtection="1">
      <protection locked="0"/>
    </xf>
    <xf numFmtId="164" fontId="23" fillId="0" borderId="19" xfId="13" applyNumberFormat="1" applyFont="1" applyBorder="1" applyAlignment="1" applyProtection="1">
      <alignment horizontal="center"/>
      <protection locked="0"/>
    </xf>
    <xf numFmtId="3" fontId="23" fillId="0" borderId="0" xfId="0" applyNumberFormat="1" applyFont="1" applyProtection="1">
      <protection locked="0"/>
    </xf>
    <xf numFmtId="164" fontId="23" fillId="0" borderId="18" xfId="13" applyNumberFormat="1" applyFont="1" applyBorder="1" applyAlignment="1" applyProtection="1">
      <alignment horizontal="center"/>
      <protection locked="0"/>
    </xf>
    <xf numFmtId="0" fontId="23" fillId="0" borderId="3" xfId="0" applyFont="1" applyBorder="1" applyProtection="1">
      <protection locked="0"/>
    </xf>
    <xf numFmtId="0" fontId="24" fillId="0" borderId="3" xfId="0" applyFont="1" applyBorder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3" fillId="0" borderId="3" xfId="0" applyFont="1" applyBorder="1" applyAlignment="1" applyProtection="1">
      <alignment horizontal="right"/>
      <protection locked="0"/>
    </xf>
    <xf numFmtId="0" fontId="23" fillId="0" borderId="21" xfId="0" applyFont="1" applyBorder="1" applyAlignment="1" applyProtection="1">
      <alignment horizontal="right"/>
      <protection locked="0"/>
    </xf>
    <xf numFmtId="0" fontId="23" fillId="0" borderId="20" xfId="0" applyFont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4" fontId="23" fillId="13" borderId="19" xfId="13" applyNumberFormat="1" applyFont="1" applyFill="1" applyBorder="1" applyAlignment="1" applyProtection="1">
      <alignment horizontal="center"/>
    </xf>
    <xf numFmtId="0" fontId="23" fillId="13" borderId="19" xfId="0" applyFont="1" applyFill="1" applyBorder="1" applyAlignment="1">
      <alignment horizontal="center"/>
    </xf>
    <xf numFmtId="0" fontId="23" fillId="13" borderId="20" xfId="0" applyFont="1" applyFill="1" applyBorder="1" applyAlignment="1">
      <alignment horizontal="right"/>
    </xf>
    <xf numFmtId="0" fontId="18" fillId="0" borderId="0" xfId="12" applyFont="1" applyBorder="1" applyAlignment="1" applyProtection="1">
      <alignment horizontal="right"/>
      <protection locked="0"/>
    </xf>
    <xf numFmtId="0" fontId="26" fillId="0" borderId="0" xfId="0" applyFont="1" applyAlignment="1" applyProtection="1">
      <alignment horizontal="right"/>
      <protection locked="0"/>
    </xf>
    <xf numFmtId="164" fontId="26" fillId="13" borderId="18" xfId="13" applyNumberFormat="1" applyFont="1" applyFill="1" applyBorder="1" applyAlignment="1" applyProtection="1">
      <alignment horizontal="center"/>
    </xf>
    <xf numFmtId="166" fontId="26" fillId="13" borderId="19" xfId="0" applyNumberFormat="1" applyFont="1" applyFill="1" applyBorder="1" applyAlignment="1">
      <alignment horizontal="center"/>
    </xf>
    <xf numFmtId="14" fontId="0" fillId="0" borderId="0" xfId="0" applyNumberFormat="1"/>
    <xf numFmtId="7" fontId="0" fillId="0" borderId="0" xfId="0" applyNumberFormat="1"/>
    <xf numFmtId="168" fontId="0" fillId="0" borderId="0" xfId="0" applyNumberFormat="1"/>
    <xf numFmtId="0" fontId="23" fillId="0" borderId="18" xfId="0" applyFont="1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25" fillId="0" borderId="23" xfId="0" applyFont="1" applyBorder="1" applyAlignment="1" applyProtection="1">
      <alignment horizontal="center" vertical="center" wrapText="1"/>
      <protection locked="0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21" fillId="0" borderId="0" xfId="0" applyFont="1" applyAlignment="1" applyProtection="1">
      <alignment horizontal="center" vertical="center" wrapText="1"/>
      <protection locked="0"/>
    </xf>
    <xf numFmtId="0" fontId="23" fillId="0" borderId="22" xfId="0" applyFont="1" applyBorder="1" applyAlignment="1" applyProtection="1">
      <alignment horizontal="center"/>
      <protection locked="0"/>
    </xf>
    <xf numFmtId="0" fontId="23" fillId="0" borderId="19" xfId="0" applyFont="1" applyBorder="1" applyAlignment="1" applyProtection="1">
      <alignment horizontal="center"/>
      <protection locked="0"/>
    </xf>
    <xf numFmtId="0" fontId="23" fillId="0" borderId="20" xfId="0" applyFont="1" applyBorder="1" applyAlignment="1" applyProtection="1">
      <alignment horizontal="center"/>
      <protection locked="0"/>
    </xf>
    <xf numFmtId="0" fontId="23" fillId="0" borderId="18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3" fillId="0" borderId="0" xfId="0" applyFont="1" applyAlignment="1" applyProtection="1">
      <alignment horizontal="center"/>
      <protection locked="0"/>
    </xf>
    <xf numFmtId="0" fontId="23" fillId="0" borderId="4" xfId="0" applyFont="1" applyBorder="1" applyAlignment="1" applyProtection="1">
      <alignment horizontal="center"/>
      <protection locked="0"/>
    </xf>
    <xf numFmtId="0" fontId="23" fillId="0" borderId="7" xfId="0" applyFont="1" applyBorder="1" applyAlignment="1" applyProtection="1">
      <alignment horizontal="center"/>
      <protection locked="0"/>
    </xf>
    <xf numFmtId="0" fontId="23" fillId="0" borderId="8" xfId="0" applyFont="1" applyBorder="1" applyAlignment="1" applyProtection="1">
      <alignment horizontal="center"/>
      <protection locked="0"/>
    </xf>
    <xf numFmtId="0" fontId="23" fillId="0" borderId="9" xfId="0" applyFont="1" applyBorder="1" applyAlignment="1" applyProtection="1">
      <alignment horizontal="center"/>
      <protection locked="0"/>
    </xf>
  </cellXfs>
  <cellStyles count="20">
    <cellStyle name="Accent" xfId="1" xr:uid="{C9F1C686-53AE-484F-88D4-8F6672514384}"/>
    <cellStyle name="Accent 1" xfId="2" xr:uid="{B9E12EA0-F6BD-422A-A749-0DACF3404B85}"/>
    <cellStyle name="Accent 2" xfId="3" xr:uid="{BB2CFDAB-FB27-4A88-9D82-E8AF2091EB35}"/>
    <cellStyle name="Accent 3" xfId="4" xr:uid="{0A365BDE-0981-42C1-BCA1-FDE6AC478473}"/>
    <cellStyle name="Bad" xfId="5" xr:uid="{5EA5036D-7CD1-48E8-B710-0296E0D5DDC8}"/>
    <cellStyle name="Error" xfId="6" xr:uid="{4CEC77BA-0D39-4225-B008-7A8CCBA04B4B}"/>
    <cellStyle name="Footnote" xfId="7" xr:uid="{EEAD3F73-85AF-47E3-BB45-1EE8EAB057DC}"/>
    <cellStyle name="Good" xfId="8" xr:uid="{9F960C34-F44E-4D7B-BC38-95334FCB758C}"/>
    <cellStyle name="Heading (user)" xfId="9" xr:uid="{9321BF7A-68ED-4527-BF50-F15891016765}"/>
    <cellStyle name="Heading 1" xfId="10" xr:uid="{695C228F-4E00-424E-B17B-56B95F5D7F06}"/>
    <cellStyle name="Heading 2" xfId="11" xr:uid="{9AEF9B31-51DA-48D0-8140-3B0F482D32FE}"/>
    <cellStyle name="Hipervínculo" xfId="12" builtinId="8"/>
    <cellStyle name="Moneda" xfId="13" builtinId="4"/>
    <cellStyle name="Neutral" xfId="14" builtinId="28" customBuiltin="1"/>
    <cellStyle name="Normal" xfId="0" builtinId="0" customBuiltin="1"/>
    <cellStyle name="Note" xfId="15" xr:uid="{3A438FAA-0340-4FFD-917B-D092E8CCDF7C}"/>
    <cellStyle name="Status" xfId="16" xr:uid="{A91C431F-5BD9-4651-A9FE-1B894BC88D6E}"/>
    <cellStyle name="Text" xfId="17" xr:uid="{9BD95802-5F61-4D1A-A746-3A92E9F25A64}"/>
    <cellStyle name="Texto explicativo 2" xfId="18" xr:uid="{B557A2DA-BC77-4C02-989E-CE477CF1E8E7}"/>
    <cellStyle name="Warning" xfId="19" xr:uid="{6AE17445-4E8A-4FF5-8104-7E889B5E494A}"/>
  </cellStyles>
  <dxfs count="4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164675</xdr:colOff>
      <xdr:row>18</xdr:row>
      <xdr:rowOff>186374</xdr:rowOff>
    </xdr:from>
    <xdr:to>
      <xdr:col>5</xdr:col>
      <xdr:colOff>1551709</xdr:colOff>
      <xdr:row>22</xdr:row>
      <xdr:rowOff>13855</xdr:rowOff>
    </xdr:to>
    <xdr:sp macro="[0]!EnviarArchivo" textlink="">
      <xdr:nvSpPr>
        <xdr:cNvPr id="3" name="Bisel 2">
          <a:extLst>
            <a:ext uri="{FF2B5EF4-FFF2-40B4-BE49-F238E27FC236}">
              <a16:creationId xmlns:a16="http://schemas.microsoft.com/office/drawing/2014/main" id="{0AFBA2A9-CBAD-68B5-7235-9DE9D62CAE48}"/>
            </a:ext>
          </a:extLst>
        </xdr:cNvPr>
        <xdr:cNvSpPr/>
      </xdr:nvSpPr>
      <xdr:spPr>
        <a:xfrm>
          <a:off x="9765875" y="4148774"/>
          <a:ext cx="1387034" cy="769590"/>
        </a:xfrm>
        <a:prstGeom prst="bevel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ENVIAR</a:t>
          </a:r>
          <a:r>
            <a:rPr lang="es-CO" sz="1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 ARCHIVO</a:t>
          </a:r>
          <a:endParaRPr lang="es-CO" sz="1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266700</xdr:colOff>
      <xdr:row>0</xdr:row>
      <xdr:rowOff>0</xdr:rowOff>
    </xdr:from>
    <xdr:to>
      <xdr:col>0</xdr:col>
      <xdr:colOff>1295400</xdr:colOff>
      <xdr:row>3</xdr:row>
      <xdr:rowOff>152400</xdr:rowOff>
    </xdr:to>
    <xdr:pic>
      <xdr:nvPicPr>
        <xdr:cNvPr id="1113" name="Imagen 1">
          <a:extLst>
            <a:ext uri="{FF2B5EF4-FFF2-40B4-BE49-F238E27FC236}">
              <a16:creationId xmlns:a16="http://schemas.microsoft.com/office/drawing/2014/main" id="{DF563ADD-DC4A-2EB9-BE4D-2264E73BD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0"/>
          <a:ext cx="1028700" cy="678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178528</xdr:colOff>
      <xdr:row>24</xdr:row>
      <xdr:rowOff>89392</xdr:rowOff>
    </xdr:from>
    <xdr:to>
      <xdr:col>5</xdr:col>
      <xdr:colOff>1523999</xdr:colOff>
      <xdr:row>27</xdr:row>
      <xdr:rowOff>221673</xdr:rowOff>
    </xdr:to>
    <xdr:sp macro="[0]!VerRegistro" textlink="">
      <xdr:nvSpPr>
        <xdr:cNvPr id="2" name="Bisel 2">
          <a:extLst>
            <a:ext uri="{FF2B5EF4-FFF2-40B4-BE49-F238E27FC236}">
              <a16:creationId xmlns:a16="http://schemas.microsoft.com/office/drawing/2014/main" id="{20A64121-3DF1-660C-0BB3-1AC5E8224525}"/>
            </a:ext>
          </a:extLst>
        </xdr:cNvPr>
        <xdr:cNvSpPr/>
      </xdr:nvSpPr>
      <xdr:spPr>
        <a:xfrm>
          <a:off x="9779728" y="5464956"/>
          <a:ext cx="1345471" cy="838862"/>
        </a:xfrm>
        <a:prstGeom prst="bevel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6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 Registro</a:t>
          </a:r>
        </a:p>
      </xdr:txBody>
    </xdr:sp>
    <xdr:clientData/>
  </xdr:twoCellAnchor>
  <xdr:twoCellAnchor>
    <xdr:from>
      <xdr:col>5</xdr:col>
      <xdr:colOff>192382</xdr:colOff>
      <xdr:row>29</xdr:row>
      <xdr:rowOff>172519</xdr:rowOff>
    </xdr:from>
    <xdr:to>
      <xdr:col>5</xdr:col>
      <xdr:colOff>1537854</xdr:colOff>
      <xdr:row>33</xdr:row>
      <xdr:rowOff>110836</xdr:rowOff>
    </xdr:to>
    <xdr:sp macro="[0]!OcultarRegistro" textlink="">
      <xdr:nvSpPr>
        <xdr:cNvPr id="4" name="Bisel 2">
          <a:extLst>
            <a:ext uri="{FF2B5EF4-FFF2-40B4-BE49-F238E27FC236}">
              <a16:creationId xmlns:a16="http://schemas.microsoft.com/office/drawing/2014/main" id="{661A3FB5-3915-9D0C-41F7-09F413498E1B}"/>
            </a:ext>
          </a:extLst>
        </xdr:cNvPr>
        <xdr:cNvSpPr/>
      </xdr:nvSpPr>
      <xdr:spPr>
        <a:xfrm>
          <a:off x="9793582" y="6753428"/>
          <a:ext cx="1345472" cy="921990"/>
        </a:xfrm>
        <a:prstGeom prst="bevel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6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Ocultar registro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21A4BC-6630-4A7E-8295-A22BBA853EF2}" name="Tabla2" displayName="Tabla2" ref="A2:E22" totalsRowShown="0" headerRowDxfId="3">
  <autoFilter ref="A2:E22" xr:uid="{731C1DDD-D20C-495A-92DE-71A7C6D1A7A9}"/>
  <tableColumns count="5">
    <tableColumn id="1" xr3:uid="{00000000-0010-0000-0100-000001000000}" name="CODIGO " dataDxfId="2" dataCellStyle="Texto explicativo 2"/>
    <tableColumn id="2" xr3:uid="{00000000-0010-0000-0100-000002000000}" name="NOMBRE" dataDxfId="1" dataCellStyle="Texto explicativo 2"/>
    <tableColumn id="3" xr3:uid="{00000000-0010-0000-0100-000003000000}" name="SUCURSAL" dataDxfId="0"/>
    <tableColumn id="4" xr3:uid="{00000000-0010-0000-0100-000004000000}" name="CAJA "/>
    <tableColumn id="5" xr3:uid="{00000000-0010-0000-0100-000005000000}" name="HORA 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AJER@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9DD52-7FBE-4CBB-A7E1-DB293AF979EC}">
  <sheetPr codeName="Hoja1">
    <pageSetUpPr fitToPage="1"/>
  </sheetPr>
  <dimension ref="A1:F37"/>
  <sheetViews>
    <sheetView showGridLines="0" tabSelected="1" zoomScale="70" zoomScaleNormal="70" zoomScalePageLayoutView="50" workbookViewId="0">
      <selection activeCell="D15" sqref="D15"/>
    </sheetView>
  </sheetViews>
  <sheetFormatPr baseColWidth="10" defaultColWidth="7" defaultRowHeight="13.8"/>
  <cols>
    <col min="1" max="1" width="20.8984375" style="19" customWidth="1"/>
    <col min="2" max="2" width="32.59765625" style="19" bestFit="1" customWidth="1"/>
    <col min="3" max="3" width="30.69921875" style="48" bestFit="1" customWidth="1"/>
    <col min="4" max="6" width="20.8984375" style="19" customWidth="1"/>
    <col min="7" max="7" width="11" style="19" customWidth="1"/>
    <col min="8" max="16384" width="7" style="19"/>
  </cols>
  <sheetData>
    <row r="1" spans="1:6">
      <c r="A1" s="60"/>
      <c r="B1" s="62" t="s">
        <v>0</v>
      </c>
      <c r="C1" s="17" t="s">
        <v>76</v>
      </c>
      <c r="D1" s="64"/>
      <c r="E1" s="65"/>
      <c r="F1" s="18"/>
    </row>
    <row r="2" spans="1:6">
      <c r="A2" s="61"/>
      <c r="B2" s="63"/>
      <c r="C2" s="20" t="s">
        <v>1</v>
      </c>
      <c r="D2" s="64"/>
      <c r="E2" s="65"/>
      <c r="F2" s="18"/>
    </row>
    <row r="3" spans="1:6">
      <c r="A3" s="61"/>
      <c r="B3" s="63"/>
      <c r="C3" s="20" t="s">
        <v>2</v>
      </c>
      <c r="D3" s="64"/>
      <c r="E3" s="65"/>
      <c r="F3" s="18"/>
    </row>
    <row r="4" spans="1:6">
      <c r="A4" s="61"/>
      <c r="B4" s="63"/>
      <c r="C4" s="20" t="s">
        <v>75</v>
      </c>
      <c r="D4" s="64"/>
      <c r="E4" s="65"/>
      <c r="F4" s="18"/>
    </row>
    <row r="5" spans="1:6" ht="14.4">
      <c r="A5" s="21"/>
      <c r="B5" s="22"/>
      <c r="C5" s="23"/>
      <c r="D5" s="22"/>
      <c r="E5" s="22"/>
      <c r="F5" s="22"/>
    </row>
    <row r="6" spans="1:6" ht="18">
      <c r="A6" s="24"/>
      <c r="B6" s="25" t="s">
        <v>3</v>
      </c>
      <c r="C6" s="26"/>
      <c r="D6" s="25"/>
      <c r="E6" s="25"/>
      <c r="F6" s="27"/>
    </row>
    <row r="7" spans="1:6" ht="18">
      <c r="A7" s="24"/>
      <c r="B7" s="53" t="s">
        <v>4</v>
      </c>
      <c r="C7" s="55">
        <f>C13+C14+C15+C16+C17</f>
        <v>0</v>
      </c>
      <c r="D7" s="27"/>
      <c r="E7" s="25"/>
      <c r="F7" s="27"/>
    </row>
    <row r="8" spans="1:6" ht="18">
      <c r="A8" s="24"/>
      <c r="B8" s="52" t="s">
        <v>24</v>
      </c>
      <c r="C8" s="59" t="s">
        <v>34</v>
      </c>
      <c r="D8" s="25"/>
      <c r="E8" s="28"/>
      <c r="F8" s="27"/>
    </row>
    <row r="9" spans="1:6" ht="18">
      <c r="A9" s="24"/>
      <c r="B9" s="25" t="s">
        <v>5</v>
      </c>
      <c r="C9" s="29" t="s">
        <v>54</v>
      </c>
      <c r="D9" s="25"/>
      <c r="E9" s="25"/>
      <c r="F9" s="27"/>
    </row>
    <row r="10" spans="1:6" ht="18">
      <c r="A10" s="24"/>
      <c r="B10" s="25" t="s">
        <v>6</v>
      </c>
      <c r="C10" s="30"/>
      <c r="D10" s="25"/>
      <c r="E10" s="25"/>
      <c r="F10" s="27"/>
    </row>
    <row r="11" spans="1:6" ht="18">
      <c r="A11" s="24"/>
      <c r="B11" s="25" t="s">
        <v>7</v>
      </c>
      <c r="C11" s="50" t="str">
        <f>VLOOKUP(C9,'BASE DE DATOS '!G2:H17,2,FALSE)</f>
        <v xml:space="preserve">PRINCIPAL </v>
      </c>
      <c r="D11" s="25"/>
      <c r="E11" s="25"/>
      <c r="F11" s="27"/>
    </row>
    <row r="12" spans="1:6" ht="18">
      <c r="A12" s="31" t="s">
        <v>8</v>
      </c>
      <c r="B12" s="32" t="s">
        <v>9</v>
      </c>
      <c r="C12" s="33" t="s">
        <v>10</v>
      </c>
      <c r="D12" s="34"/>
      <c r="E12" s="34"/>
      <c r="F12" s="34"/>
    </row>
    <row r="13" spans="1:6" ht="18">
      <c r="A13" s="35">
        <v>100000</v>
      </c>
      <c r="B13" s="32"/>
      <c r="C13" s="49">
        <f>+A13*B13</f>
        <v>0</v>
      </c>
      <c r="D13" s="37"/>
      <c r="E13" s="27"/>
      <c r="F13" s="27"/>
    </row>
    <row r="14" spans="1:6" ht="18">
      <c r="A14" s="35">
        <v>50000</v>
      </c>
      <c r="B14" s="32"/>
      <c r="C14" s="49">
        <f>+A14*B14</f>
        <v>0</v>
      </c>
      <c r="D14" s="37"/>
      <c r="E14" s="27"/>
      <c r="F14" s="27"/>
    </row>
    <row r="15" spans="1:6" ht="18">
      <c r="A15" s="35">
        <v>20000</v>
      </c>
      <c r="B15" s="32"/>
      <c r="C15" s="49">
        <f>+A15*B15</f>
        <v>0</v>
      </c>
      <c r="D15" s="37"/>
      <c r="E15" s="27"/>
      <c r="F15" s="27"/>
    </row>
    <row r="16" spans="1:6" ht="18">
      <c r="A16" s="35">
        <v>10000</v>
      </c>
      <c r="B16" s="32"/>
      <c r="C16" s="49">
        <f>+A16*B16</f>
        <v>0</v>
      </c>
      <c r="D16" s="37"/>
      <c r="E16" s="27"/>
      <c r="F16" s="27"/>
    </row>
    <row r="17" spans="1:6" ht="18">
      <c r="A17" s="24"/>
      <c r="B17" s="25" t="s">
        <v>11</v>
      </c>
      <c r="C17" s="36"/>
      <c r="D17" s="25"/>
      <c r="E17" s="25"/>
      <c r="F17" s="27"/>
    </row>
    <row r="18" spans="1:6" ht="18">
      <c r="A18" s="24"/>
      <c r="B18" s="25" t="s">
        <v>12</v>
      </c>
      <c r="C18" s="38"/>
      <c r="D18" s="25"/>
      <c r="E18" s="25"/>
      <c r="F18" s="27"/>
    </row>
    <row r="19" spans="1:6" ht="18">
      <c r="A19" s="24"/>
      <c r="B19" s="25" t="s">
        <v>20</v>
      </c>
      <c r="C19" s="38"/>
      <c r="D19" s="25"/>
      <c r="E19" s="25"/>
      <c r="F19" s="27"/>
    </row>
    <row r="20" spans="1:6" ht="18">
      <c r="A20" s="24"/>
      <c r="B20" s="25" t="s">
        <v>18</v>
      </c>
      <c r="C20" s="38"/>
      <c r="D20" s="25"/>
      <c r="E20" s="25"/>
      <c r="F20" s="27"/>
    </row>
    <row r="21" spans="1:6" ht="18">
      <c r="A21" s="24"/>
      <c r="B21" s="25" t="s">
        <v>21</v>
      </c>
      <c r="C21" s="38"/>
      <c r="D21" s="25"/>
      <c r="E21" s="25"/>
      <c r="F21" s="27"/>
    </row>
    <row r="22" spans="1:6" ht="18">
      <c r="A22" s="24"/>
      <c r="B22" s="25" t="s">
        <v>22</v>
      </c>
      <c r="C22" s="38"/>
      <c r="D22" s="25"/>
      <c r="E22" s="25"/>
      <c r="F22" s="27"/>
    </row>
    <row r="23" spans="1:6" ht="18">
      <c r="A23" s="24"/>
      <c r="B23" s="25" t="s">
        <v>23</v>
      </c>
      <c r="C23" s="38"/>
      <c r="D23" s="25"/>
      <c r="E23" s="25"/>
      <c r="F23" s="27"/>
    </row>
    <row r="24" spans="1:6" ht="18">
      <c r="A24" s="24"/>
      <c r="B24" s="25" t="s">
        <v>14</v>
      </c>
      <c r="C24" s="38"/>
      <c r="D24" s="25"/>
      <c r="E24" s="25"/>
      <c r="F24" s="27"/>
    </row>
    <row r="25" spans="1:6" ht="18">
      <c r="A25" s="24"/>
      <c r="B25" s="53" t="s">
        <v>13</v>
      </c>
      <c r="C25" s="54">
        <f>+C7+C18+C19+C20+C21+C22+C23+C24</f>
        <v>0</v>
      </c>
      <c r="D25" s="27"/>
      <c r="E25" s="25"/>
      <c r="F25" s="27"/>
    </row>
    <row r="26" spans="1:6" ht="18">
      <c r="A26" s="39"/>
      <c r="B26" s="25" t="s">
        <v>19</v>
      </c>
      <c r="C26" s="33"/>
      <c r="D26" s="27"/>
      <c r="E26" s="25"/>
      <c r="F26" s="27"/>
    </row>
    <row r="27" spans="1:6" ht="18">
      <c r="A27" s="40"/>
      <c r="B27" s="25" t="s">
        <v>25</v>
      </c>
      <c r="C27" s="33"/>
      <c r="D27" s="41"/>
      <c r="E27" s="25"/>
      <c r="F27" s="27"/>
    </row>
    <row r="28" spans="1:6" ht="19.5" customHeight="1">
      <c r="A28" s="42" t="s">
        <v>15</v>
      </c>
      <c r="B28" s="68"/>
      <c r="C28" s="69"/>
      <c r="D28" s="25"/>
      <c r="E28" s="27"/>
      <c r="F28" s="27"/>
    </row>
    <row r="29" spans="1:6" ht="19.5" customHeight="1">
      <c r="A29" s="70"/>
      <c r="B29" s="71"/>
      <c r="C29" s="72"/>
      <c r="D29" s="25"/>
      <c r="E29" s="27"/>
      <c r="F29" s="27"/>
    </row>
    <row r="30" spans="1:6" ht="19.5" customHeight="1">
      <c r="A30" s="73"/>
      <c r="B30" s="74"/>
      <c r="C30" s="75"/>
      <c r="D30" s="25"/>
      <c r="E30" s="27"/>
      <c r="F30" s="27"/>
    </row>
    <row r="31" spans="1:6" ht="19.5" customHeight="1">
      <c r="A31" s="73"/>
      <c r="B31" s="74"/>
      <c r="C31" s="75"/>
      <c r="D31" s="25"/>
      <c r="E31" s="27"/>
      <c r="F31" s="27"/>
    </row>
    <row r="32" spans="1:6" ht="19.5" customHeight="1">
      <c r="A32" s="73"/>
      <c r="B32" s="74"/>
      <c r="C32" s="75"/>
      <c r="D32" s="25"/>
      <c r="E32" s="27"/>
      <c r="F32" s="27"/>
    </row>
    <row r="33" spans="1:6" ht="18">
      <c r="A33" s="73"/>
      <c r="B33" s="74"/>
      <c r="C33" s="75"/>
      <c r="D33" s="27"/>
      <c r="E33" s="27"/>
      <c r="F33" s="27"/>
    </row>
    <row r="34" spans="1:6" ht="18">
      <c r="A34" s="43" t="s">
        <v>16</v>
      </c>
      <c r="B34" s="51" t="str">
        <f>+C8</f>
        <v xml:space="preserve">Julio Sanchez Raquel </v>
      </c>
      <c r="C34" s="29"/>
      <c r="D34" s="25"/>
      <c r="E34" s="27"/>
      <c r="F34" s="27"/>
    </row>
    <row r="35" spans="1:6" ht="18">
      <c r="A35" s="42"/>
      <c r="B35" s="44"/>
      <c r="C35" s="29"/>
      <c r="D35" s="25"/>
      <c r="E35" s="27"/>
      <c r="F35" s="27"/>
    </row>
    <row r="36" spans="1:6" ht="18">
      <c r="A36" s="42" t="s">
        <v>17</v>
      </c>
      <c r="B36" s="66"/>
      <c r="C36" s="67"/>
      <c r="D36" s="25"/>
      <c r="E36" s="27"/>
      <c r="F36" s="27"/>
    </row>
    <row r="37" spans="1:6" ht="14.4" thickBot="1">
      <c r="A37" s="45"/>
      <c r="B37" s="46"/>
      <c r="C37" s="47"/>
    </row>
  </sheetData>
  <dataConsolidate/>
  <mergeCells count="11">
    <mergeCell ref="A1:A4"/>
    <mergeCell ref="B1:B4"/>
    <mergeCell ref="D1:D4"/>
    <mergeCell ref="E1:E4"/>
    <mergeCell ref="B36:C36"/>
    <mergeCell ref="B28:C28"/>
    <mergeCell ref="A29:C29"/>
    <mergeCell ref="A30:C30"/>
    <mergeCell ref="A31:C31"/>
    <mergeCell ref="A32:C32"/>
    <mergeCell ref="A33:C33"/>
  </mergeCells>
  <dataValidations count="4">
    <dataValidation type="date" allowBlank="1" showInputMessage="1" showErrorMessage="1" sqref="C6" xr:uid="{ED53E290-B9AA-4F92-979A-8A616DDCB220}">
      <formula1>43831</formula1>
      <formula2>55153</formula2>
    </dataValidation>
    <dataValidation type="whole" allowBlank="1" showInputMessage="1" showErrorMessage="1" sqref="C13:C17" xr:uid="{4EDDE9A0-37B0-4F70-A6BB-FCBA7623A8D3}">
      <formula1>0</formula1>
      <formula2>99999999999999</formula2>
    </dataValidation>
    <dataValidation type="list" allowBlank="1" showInputMessage="1" showErrorMessage="1" sqref="C8" xr:uid="{298C914A-1514-4706-9D1F-AAFA1D54466C}">
      <formula1>INDIRECT("'BASE DE DATOS '!$B$3:$B$22")</formula1>
    </dataValidation>
    <dataValidation type="list" allowBlank="1" showInputMessage="1" showErrorMessage="1" sqref="C9" xr:uid="{B2B2CC41-C4B2-4577-AB47-B3E6EEBAB252}">
      <formula1>INDIRECT("'BASE DE DATOS '!$D$3:$D$22")</formula1>
    </dataValidation>
  </dataValidations>
  <hyperlinks>
    <hyperlink ref="B8" r:id="rId1" xr:uid="{85325A45-540C-4284-AA14-1B8CF3FB4C3A}"/>
  </hyperlinks>
  <pageMargins left="0.35433070866141736" right="0.31496062992125984" top="0.35433070866141736" bottom="0.35433070866141736" header="7.874015748031496E-2" footer="7.874015748031496E-2"/>
  <pageSetup scale="87" fitToWidth="0" pageOrder="overThenDown" orientation="landscape" useFirstPageNumber="1" r:id="rId2"/>
  <headerFooter alignWithMargins="0">
    <oddFooter>&amp;CPágina &amp;P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7C2AF-F824-4BCF-A496-826FDF9BB4D7}">
  <sheetPr codeName="Hoja2"/>
  <dimension ref="A2:I22"/>
  <sheetViews>
    <sheetView workbookViewId="0">
      <selection activeCell="D25" sqref="D25"/>
    </sheetView>
  </sheetViews>
  <sheetFormatPr baseColWidth="10" defaultRowHeight="13.8"/>
  <cols>
    <col min="2" max="2" width="26.8984375" bestFit="1" customWidth="1"/>
    <col min="3" max="3" width="26.8984375" style="1" bestFit="1" customWidth="1"/>
    <col min="7" max="7" width="6.5" bestFit="1" customWidth="1"/>
    <col min="8" max="8" width="15.5" bestFit="1" customWidth="1"/>
  </cols>
  <sheetData>
    <row r="2" spans="1:9">
      <c r="A2" s="1" t="s">
        <v>45</v>
      </c>
      <c r="B2" s="1" t="s">
        <v>46</v>
      </c>
      <c r="C2" s="1" t="s">
        <v>7</v>
      </c>
      <c r="D2" s="1" t="s">
        <v>53</v>
      </c>
      <c r="E2" s="1" t="s">
        <v>70</v>
      </c>
      <c r="G2" s="9" t="s">
        <v>53</v>
      </c>
      <c r="H2" s="9" t="s">
        <v>7</v>
      </c>
      <c r="I2" s="10" t="s">
        <v>70</v>
      </c>
    </row>
    <row r="3" spans="1:9" ht="15.6">
      <c r="A3" s="4">
        <v>87</v>
      </c>
      <c r="B3" s="5" t="s">
        <v>26</v>
      </c>
      <c r="C3" s="1" t="s">
        <v>47</v>
      </c>
      <c r="D3" s="6" t="s">
        <v>54</v>
      </c>
      <c r="E3" s="1" t="s">
        <v>71</v>
      </c>
      <c r="G3" s="11" t="s">
        <v>54</v>
      </c>
      <c r="H3" s="3" t="s">
        <v>47</v>
      </c>
      <c r="I3" s="12" t="s">
        <v>71</v>
      </c>
    </row>
    <row r="4" spans="1:9" ht="15.6">
      <c r="A4" s="4">
        <v>82</v>
      </c>
      <c r="B4" s="5" t="s">
        <v>27</v>
      </c>
      <c r="C4" s="1" t="s">
        <v>47</v>
      </c>
      <c r="D4" s="6" t="s">
        <v>56</v>
      </c>
      <c r="E4" s="1" t="s">
        <v>72</v>
      </c>
      <c r="G4" s="13" t="s">
        <v>56</v>
      </c>
      <c r="H4" s="2" t="s">
        <v>47</v>
      </c>
      <c r="I4" s="14" t="s">
        <v>72</v>
      </c>
    </row>
    <row r="5" spans="1:9" ht="15.6">
      <c r="A5" s="4">
        <v>126</v>
      </c>
      <c r="B5" s="5" t="s">
        <v>28</v>
      </c>
      <c r="C5" s="1" t="s">
        <v>47</v>
      </c>
      <c r="D5" s="6" t="s">
        <v>57</v>
      </c>
      <c r="E5" s="1" t="s">
        <v>73</v>
      </c>
      <c r="G5" s="11" t="s">
        <v>57</v>
      </c>
      <c r="H5" s="3" t="s">
        <v>47</v>
      </c>
      <c r="I5" s="12" t="s">
        <v>73</v>
      </c>
    </row>
    <row r="6" spans="1:9" ht="15.6">
      <c r="A6" s="4">
        <v>125</v>
      </c>
      <c r="B6" s="5" t="s">
        <v>29</v>
      </c>
      <c r="C6" s="1" t="s">
        <v>47</v>
      </c>
      <c r="D6" s="6" t="s">
        <v>58</v>
      </c>
      <c r="G6" s="13" t="s">
        <v>58</v>
      </c>
      <c r="H6" s="2" t="s">
        <v>47</v>
      </c>
    </row>
    <row r="7" spans="1:9" ht="15.6">
      <c r="A7" s="4">
        <v>4</v>
      </c>
      <c r="B7" s="7" t="s">
        <v>30</v>
      </c>
      <c r="C7" s="1" t="s">
        <v>47</v>
      </c>
      <c r="D7" s="6" t="s">
        <v>59</v>
      </c>
      <c r="G7" s="11" t="s">
        <v>59</v>
      </c>
      <c r="H7" s="3" t="s">
        <v>47</v>
      </c>
    </row>
    <row r="8" spans="1:9" ht="15.6">
      <c r="A8" s="4">
        <v>98</v>
      </c>
      <c r="B8" s="8" t="s">
        <v>31</v>
      </c>
      <c r="C8" s="1" t="s">
        <v>47</v>
      </c>
      <c r="D8" s="6" t="s">
        <v>60</v>
      </c>
      <c r="G8" s="13" t="s">
        <v>60</v>
      </c>
      <c r="H8" s="2" t="s">
        <v>47</v>
      </c>
    </row>
    <row r="9" spans="1:9" ht="15.6">
      <c r="A9" s="4">
        <v>129</v>
      </c>
      <c r="B9" s="15" t="s">
        <v>32</v>
      </c>
      <c r="C9" s="1" t="s">
        <v>47</v>
      </c>
      <c r="D9" s="6" t="s">
        <v>61</v>
      </c>
      <c r="G9" s="11" t="s">
        <v>61</v>
      </c>
      <c r="H9" s="3" t="s">
        <v>47</v>
      </c>
    </row>
    <row r="10" spans="1:9" ht="15.6">
      <c r="A10" s="4">
        <v>127</v>
      </c>
      <c r="B10" s="8" t="s">
        <v>33</v>
      </c>
      <c r="C10" s="1" t="s">
        <v>47</v>
      </c>
      <c r="D10" s="6" t="s">
        <v>62</v>
      </c>
      <c r="G10" s="13" t="s">
        <v>62</v>
      </c>
      <c r="H10" s="2" t="s">
        <v>47</v>
      </c>
    </row>
    <row r="11" spans="1:9" ht="15.6">
      <c r="A11" s="4">
        <v>113</v>
      </c>
      <c r="B11" s="15" t="s">
        <v>34</v>
      </c>
      <c r="C11" s="1" t="s">
        <v>48</v>
      </c>
      <c r="D11" s="6" t="s">
        <v>55</v>
      </c>
      <c r="G11" s="11" t="s">
        <v>55</v>
      </c>
      <c r="H11" s="3" t="s">
        <v>48</v>
      </c>
    </row>
    <row r="12" spans="1:9" ht="15.6">
      <c r="A12" s="4">
        <v>104</v>
      </c>
      <c r="B12" s="7" t="s">
        <v>35</v>
      </c>
      <c r="C12" s="1" t="s">
        <v>49</v>
      </c>
      <c r="D12" s="6" t="s">
        <v>63</v>
      </c>
      <c r="G12" s="13" t="s">
        <v>63</v>
      </c>
      <c r="H12" s="2" t="s">
        <v>49</v>
      </c>
    </row>
    <row r="13" spans="1:9" ht="15.6">
      <c r="A13" s="4">
        <v>12</v>
      </c>
      <c r="B13" s="15" t="s">
        <v>36</v>
      </c>
      <c r="C13" s="1" t="s">
        <v>49</v>
      </c>
      <c r="D13" s="6" t="s">
        <v>64</v>
      </c>
      <c r="G13" s="11" t="s">
        <v>64</v>
      </c>
      <c r="H13" s="3" t="s">
        <v>49</v>
      </c>
    </row>
    <row r="14" spans="1:9" ht="15.6">
      <c r="A14" s="4">
        <v>128</v>
      </c>
      <c r="B14" s="8" t="s">
        <v>37</v>
      </c>
      <c r="C14" s="1" t="s">
        <v>74</v>
      </c>
      <c r="D14" s="6" t="s">
        <v>65</v>
      </c>
      <c r="G14" s="13" t="s">
        <v>65</v>
      </c>
      <c r="H14" s="2" t="s">
        <v>74</v>
      </c>
    </row>
    <row r="15" spans="1:9" ht="15.6">
      <c r="A15" s="4">
        <v>119</v>
      </c>
      <c r="B15" s="7" t="s">
        <v>38</v>
      </c>
      <c r="C15" s="1" t="s">
        <v>50</v>
      </c>
      <c r="D15" s="6" t="s">
        <v>66</v>
      </c>
      <c r="G15" s="11" t="s">
        <v>66</v>
      </c>
      <c r="H15" s="3" t="s">
        <v>50</v>
      </c>
    </row>
    <row r="16" spans="1:9" ht="15.6">
      <c r="A16" s="4">
        <v>118</v>
      </c>
      <c r="B16" s="7" t="s">
        <v>39</v>
      </c>
      <c r="C16" s="1" t="s">
        <v>51</v>
      </c>
      <c r="D16" s="6" t="s">
        <v>67</v>
      </c>
      <c r="G16" s="13" t="s">
        <v>67</v>
      </c>
      <c r="H16" s="2" t="s">
        <v>51</v>
      </c>
    </row>
    <row r="17" spans="1:8" ht="15.6">
      <c r="A17" s="4">
        <v>48</v>
      </c>
      <c r="B17" s="7" t="s">
        <v>40</v>
      </c>
      <c r="C17" s="1" t="s">
        <v>52</v>
      </c>
      <c r="D17" s="6" t="s">
        <v>68</v>
      </c>
      <c r="G17" s="11" t="s">
        <v>68</v>
      </c>
      <c r="H17" s="3" t="s">
        <v>52</v>
      </c>
    </row>
    <row r="18" spans="1:8" ht="15.6">
      <c r="A18" s="4">
        <v>74</v>
      </c>
      <c r="B18" s="7" t="s">
        <v>41</v>
      </c>
    </row>
    <row r="19" spans="1:8" ht="15.6">
      <c r="A19" s="4">
        <v>80</v>
      </c>
      <c r="B19" s="7" t="s">
        <v>42</v>
      </c>
    </row>
    <row r="20" spans="1:8" ht="15.6">
      <c r="A20" s="4">
        <v>122</v>
      </c>
      <c r="B20" s="7" t="s">
        <v>43</v>
      </c>
    </row>
    <row r="21" spans="1:8" ht="15.6">
      <c r="A21" s="16">
        <v>130</v>
      </c>
      <c r="B21" s="15" t="s">
        <v>44</v>
      </c>
    </row>
    <row r="22" spans="1:8" ht="15.6">
      <c r="A22" s="4">
        <v>70</v>
      </c>
      <c r="B22" s="7" t="s">
        <v>69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A8D26-6489-4460-B1BB-31F1EBE46FAB}">
  <sheetPr codeName="Hoja5"/>
  <dimension ref="A1:V8"/>
  <sheetViews>
    <sheetView workbookViewId="0">
      <selection activeCell="A8" sqref="A8"/>
    </sheetView>
  </sheetViews>
  <sheetFormatPr baseColWidth="10" defaultRowHeight="13.8"/>
  <cols>
    <col min="3" max="3" width="32.09765625" customWidth="1"/>
    <col min="5" max="5" width="8.19921875" customWidth="1"/>
    <col min="6" max="6" width="22.19921875" customWidth="1"/>
    <col min="7" max="7" width="14.19921875" customWidth="1"/>
    <col min="8" max="8" width="15.3984375" customWidth="1"/>
    <col min="9" max="10" width="16" customWidth="1"/>
    <col min="13" max="13" width="12.3984375" customWidth="1"/>
    <col min="14" max="14" width="17" customWidth="1"/>
    <col min="15" max="15" width="22" customWidth="1"/>
    <col min="16" max="16" width="16.296875" customWidth="1"/>
    <col min="17" max="17" width="16.5" customWidth="1"/>
    <col min="18" max="18" width="22.3984375" customWidth="1"/>
    <col min="19" max="19" width="19.3984375" customWidth="1"/>
    <col min="20" max="20" width="22.19921875" customWidth="1"/>
    <col min="21" max="21" width="19.5" customWidth="1"/>
    <col min="22" max="22" width="44.5" customWidth="1"/>
  </cols>
  <sheetData>
    <row r="1" spans="1:22">
      <c r="A1" t="s">
        <v>3</v>
      </c>
      <c r="B1" t="s">
        <v>6</v>
      </c>
      <c r="C1" t="s">
        <v>95</v>
      </c>
      <c r="D1" t="s">
        <v>7</v>
      </c>
      <c r="E1" t="s">
        <v>5</v>
      </c>
      <c r="F1" t="s">
        <v>4</v>
      </c>
      <c r="G1" t="s">
        <v>77</v>
      </c>
      <c r="H1" t="s">
        <v>86</v>
      </c>
      <c r="I1" t="s">
        <v>78</v>
      </c>
      <c r="J1" t="s">
        <v>96</v>
      </c>
      <c r="K1" t="s">
        <v>79</v>
      </c>
      <c r="L1" t="s">
        <v>80</v>
      </c>
      <c r="M1" t="s">
        <v>81</v>
      </c>
      <c r="N1" t="s">
        <v>82</v>
      </c>
      <c r="O1" t="s">
        <v>83</v>
      </c>
      <c r="P1" t="s">
        <v>84</v>
      </c>
      <c r="Q1" t="s">
        <v>85</v>
      </c>
      <c r="R1" t="s">
        <v>87</v>
      </c>
      <c r="S1" t="s">
        <v>88</v>
      </c>
      <c r="T1" t="s">
        <v>89</v>
      </c>
      <c r="U1" t="s">
        <v>90</v>
      </c>
      <c r="V1" t="s">
        <v>91</v>
      </c>
    </row>
    <row r="2" spans="1:22">
      <c r="A2" s="56">
        <v>46105</v>
      </c>
      <c r="B2" s="58">
        <v>0.66666666666666663</v>
      </c>
      <c r="C2" t="s">
        <v>39</v>
      </c>
      <c r="D2" t="s">
        <v>74</v>
      </c>
      <c r="E2" t="s">
        <v>65</v>
      </c>
      <c r="F2" s="57">
        <v>1000</v>
      </c>
      <c r="G2" s="57">
        <v>0</v>
      </c>
      <c r="H2" s="57">
        <v>0</v>
      </c>
      <c r="I2" s="57">
        <v>0</v>
      </c>
      <c r="J2" s="57">
        <v>0</v>
      </c>
      <c r="K2" s="57">
        <v>1000</v>
      </c>
      <c r="L2" s="57">
        <v>10000</v>
      </c>
      <c r="N2" s="57">
        <v>50000</v>
      </c>
      <c r="O2" s="57">
        <v>5000</v>
      </c>
      <c r="P2" s="57">
        <v>5000</v>
      </c>
      <c r="R2" s="57">
        <v>1000000</v>
      </c>
      <c r="S2" s="57">
        <v>1071000</v>
      </c>
    </row>
    <row r="3" spans="1:22">
      <c r="A3" s="56">
        <v>46113</v>
      </c>
      <c r="B3" t="s">
        <v>92</v>
      </c>
      <c r="C3" t="s">
        <v>39</v>
      </c>
      <c r="D3" t="s">
        <v>74</v>
      </c>
      <c r="E3" t="s">
        <v>65</v>
      </c>
      <c r="F3" s="57">
        <v>260000</v>
      </c>
      <c r="G3">
        <v>1</v>
      </c>
      <c r="H3">
        <v>2</v>
      </c>
      <c r="I3">
        <v>2</v>
      </c>
      <c r="J3">
        <v>1</v>
      </c>
      <c r="K3" s="57">
        <v>10000</v>
      </c>
      <c r="S3" s="57">
        <v>260000</v>
      </c>
    </row>
    <row r="4" spans="1:22">
      <c r="A4" s="56">
        <v>46113</v>
      </c>
      <c r="B4" t="s">
        <v>93</v>
      </c>
      <c r="C4" t="s">
        <v>39</v>
      </c>
      <c r="D4" t="s">
        <v>74</v>
      </c>
      <c r="E4" t="s">
        <v>65</v>
      </c>
      <c r="F4" s="57">
        <v>361000</v>
      </c>
      <c r="G4" s="57">
        <v>200000</v>
      </c>
      <c r="H4" s="57">
        <v>100000</v>
      </c>
      <c r="I4" s="57">
        <v>40000</v>
      </c>
      <c r="J4" s="57">
        <v>20000</v>
      </c>
      <c r="K4" s="57">
        <v>1000</v>
      </c>
      <c r="L4" s="57">
        <v>2000</v>
      </c>
      <c r="M4" s="57">
        <v>10000</v>
      </c>
      <c r="N4" s="57">
        <v>300000</v>
      </c>
      <c r="R4" s="57">
        <v>1000000</v>
      </c>
      <c r="S4" s="57">
        <v>1673000</v>
      </c>
      <c r="V4" t="s">
        <v>94</v>
      </c>
    </row>
    <row r="5" spans="1:22">
      <c r="A5" s="56">
        <v>46113</v>
      </c>
      <c r="B5" t="s">
        <v>97</v>
      </c>
      <c r="C5" t="s">
        <v>39</v>
      </c>
      <c r="D5" t="s">
        <v>74</v>
      </c>
      <c r="E5" t="s">
        <v>65</v>
      </c>
      <c r="F5" s="57">
        <v>181000</v>
      </c>
      <c r="G5" s="57">
        <v>100000</v>
      </c>
      <c r="H5" s="57">
        <v>50000</v>
      </c>
      <c r="I5" s="57">
        <v>20000</v>
      </c>
      <c r="J5" s="57">
        <v>10000</v>
      </c>
      <c r="K5" s="57">
        <v>1000</v>
      </c>
      <c r="R5" s="57">
        <v>100000</v>
      </c>
      <c r="S5" s="57">
        <v>281000</v>
      </c>
      <c r="V5" t="s">
        <v>98</v>
      </c>
    </row>
    <row r="6" spans="1:22">
      <c r="A6" s="56">
        <v>46113</v>
      </c>
      <c r="B6" t="s">
        <v>99</v>
      </c>
      <c r="C6" t="s">
        <v>34</v>
      </c>
      <c r="D6" t="s">
        <v>47</v>
      </c>
      <c r="E6" t="s">
        <v>54</v>
      </c>
      <c r="F6" s="57">
        <v>181000</v>
      </c>
      <c r="G6" s="57">
        <v>100000</v>
      </c>
      <c r="H6" s="57">
        <v>50000</v>
      </c>
      <c r="I6" s="57">
        <v>20000</v>
      </c>
      <c r="J6" s="57">
        <v>10000</v>
      </c>
      <c r="K6" s="57">
        <v>1000</v>
      </c>
      <c r="R6" s="57">
        <v>200000</v>
      </c>
      <c r="S6" s="57">
        <v>381000</v>
      </c>
      <c r="V6" t="s">
        <v>100</v>
      </c>
    </row>
    <row r="7" spans="1:22">
      <c r="A7" s="56">
        <v>46113</v>
      </c>
      <c r="B7">
        <v>0.16666666666666666</v>
      </c>
      <c r="C7" t="s">
        <v>34</v>
      </c>
      <c r="D7" t="s">
        <v>47</v>
      </c>
      <c r="E7" t="s">
        <v>54</v>
      </c>
      <c r="F7" s="57">
        <v>361000</v>
      </c>
      <c r="G7" s="57">
        <v>200000</v>
      </c>
      <c r="H7" s="57">
        <v>100000</v>
      </c>
      <c r="I7" s="57">
        <v>40000</v>
      </c>
      <c r="J7" s="57">
        <v>20000</v>
      </c>
      <c r="K7" s="57">
        <v>1000</v>
      </c>
      <c r="S7" s="57">
        <v>361000</v>
      </c>
    </row>
    <row r="8" spans="1:22">
      <c r="A8" s="56">
        <v>46118</v>
      </c>
      <c r="B8">
        <v>0.76458333333333328</v>
      </c>
      <c r="C8" t="s">
        <v>34</v>
      </c>
      <c r="D8" t="s">
        <v>47</v>
      </c>
      <c r="E8" t="s">
        <v>54</v>
      </c>
      <c r="F8" s="57">
        <v>531000</v>
      </c>
      <c r="G8" s="57">
        <v>400000</v>
      </c>
      <c r="H8" s="57">
        <v>100000</v>
      </c>
      <c r="I8" s="57">
        <v>20000</v>
      </c>
      <c r="J8" s="57">
        <v>10000</v>
      </c>
      <c r="K8" s="57">
        <v>1000</v>
      </c>
      <c r="S8" s="57">
        <v>531000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8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FORMATO_CUADRE_DE_CAJA</vt:lpstr>
      <vt:lpstr>BASE DE DATOS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superventas</dc:creator>
  <cp:lastModifiedBy>Edwin Alejandro Esquivel bahamon</cp:lastModifiedBy>
  <cp:revision>1</cp:revision>
  <cp:lastPrinted>2026-04-06T23:22:33Z</cp:lastPrinted>
  <dcterms:created xsi:type="dcterms:W3CDTF">2018-07-31T13:30:46Z</dcterms:created>
  <dcterms:modified xsi:type="dcterms:W3CDTF">2026-04-06T23:24:03Z</dcterms:modified>
</cp:coreProperties>
</file>